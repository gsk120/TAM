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시보드" sheetId="1" r:id="rId4"/>
    <sheet state="visible" name="연간현황" sheetId="2" r:id="rId5"/>
    <sheet state="visible" name="총자산" sheetId="3" r:id="rId6"/>
    <sheet state="visible" name="수입관리" sheetId="4" r:id="rId7"/>
    <sheet state="visible" name="01월" sheetId="5" r:id="rId8"/>
    <sheet state="visible" name="02월" sheetId="6" r:id="rId9"/>
    <sheet state="visible" name="03월" sheetId="7" r:id="rId10"/>
    <sheet state="visible" name="04월" sheetId="8" r:id="rId11"/>
    <sheet state="visible" name="05월" sheetId="9" r:id="rId12"/>
    <sheet state="visible" name="06월" sheetId="10" r:id="rId13"/>
    <sheet state="visible" name="07월" sheetId="11" r:id="rId14"/>
    <sheet state="visible" name="08월" sheetId="12" r:id="rId15"/>
    <sheet state="visible" name="09월" sheetId="13" r:id="rId16"/>
    <sheet state="visible" name="10월" sheetId="14" r:id="rId17"/>
    <sheet state="visible" name="11월" sheetId="15" r:id="rId18"/>
    <sheet state="visible" name="12월" sheetId="16" r:id="rId19"/>
    <sheet state="visible" name="내역" sheetId="17" r:id="rId20"/>
  </sheets>
  <definedNames>
    <definedName hidden="1" localSheetId="16" name="_xlnm._FilterDatabase">'내역'!$A$4:$F$961</definedName>
  </definedNames>
  <calcPr/>
  <extLst>
    <ext uri="GoogleSheetsCustomDataVersion2">
      <go:sheetsCustomData xmlns:go="http://customooxmlschemas.google.com/" r:id="rId21" roundtripDataChecksum="gwvv+Ogoq0hr6FeQahnWCkVuvCv6o6eXGBzfzmjt3wA="/>
    </ext>
  </extLst>
</workbook>
</file>

<file path=xl/sharedStrings.xml><?xml version="1.0" encoding="utf-8"?>
<sst xmlns="http://schemas.openxmlformats.org/spreadsheetml/2006/main" count="3570" uniqueCount="532">
  <si>
    <t>수입관리 (자동집계)</t>
  </si>
  <si>
    <t>내역 시트에서 타입=수입, 대분류=기석월급/기석상여/승주월급/승주상여/기타수입을 월별 자동 집계합니다. 단위: 원</t>
  </si>
  <si>
    <t>월</t>
  </si>
  <si>
    <t>기석월급</t>
  </si>
  <si>
    <t>기석상여</t>
  </si>
  <si>
    <t>기석수입</t>
  </si>
  <si>
    <t>승주월급</t>
  </si>
  <si>
    <t>승주상여</t>
  </si>
  <si>
    <t>승주수입</t>
  </si>
  <si>
    <t>기타수입</t>
  </si>
  <si>
    <t>총수입</t>
  </si>
  <si>
    <t>작성법</t>
  </si>
  <si>
    <t>1월</t>
  </si>
  <si>
    <t>연간현황 (컨트롤 타워)</t>
  </si>
  <si>
    <t>기준년도와 연간 흐름을 관리합니다. 단위: 만원</t>
  </si>
  <si>
    <t>기준년도</t>
  </si>
  <si>
    <t>총지출</t>
  </si>
  <si>
    <t>마통상환</t>
  </si>
  <si>
    <t>차이</t>
  </si>
  <si>
    <t>지출률</t>
  </si>
  <si>
    <t>메모</t>
  </si>
  <si>
    <t>1) B3 기준년도만 바꾸면 월별 집계 날짜가 자동 변경됩니다.</t>
  </si>
  <si>
    <t/>
  </si>
  <si>
    <t>1) 내역 시트에 수입 내역도 함께 붙여넣기</t>
  </si>
  <si>
    <t>2월</t>
  </si>
  <si>
    <t>2) 총지출은 월별 시트 합계를 자동 연결합니다.</t>
  </si>
  <si>
    <t>3) 마통상환은 총자산 시트의 전월 마통잔액-당월 마통잔액입니다.</t>
  </si>
  <si>
    <t>3월</t>
  </si>
  <si>
    <t>2) 타입은 반드시 "수입"</t>
  </si>
  <si>
    <t>4) 차이는 총수입-총지출-마통상환입니다.</t>
  </si>
  <si>
    <t>4월</t>
  </si>
  <si>
    <t>5월</t>
  </si>
  <si>
    <t>총자산 현황</t>
  </si>
  <si>
    <t>📊 가계 재무 대시보드</t>
  </si>
  <si>
    <t>3) 대분류는 5개 중 하나로 통일</t>
  </si>
  <si>
    <t>조회월만 바꾸면 핵심 숫자가 자동으로 바뀝니다. 단위: 만원</t>
  </si>
  <si>
    <t>조회월(1~12)</t>
  </si>
  <si>
    <t>6월</t>
  </si>
  <si>
    <t>매월 말 기준 자산/부채를 입력합니다. 계좌명은 자유롭게 수정하고, 현금 계좌 입력 영역의 빈 줄을 사용하세요. 단위: 원</t>
  </si>
  <si>
    <t>1) B4에 조회월을 입력하세요.</t>
  </si>
  <si>
    <t>항목</t>
  </si>
  <si>
    <t>7월</t>
  </si>
  <si>
    <t>연간 총수입</t>
  </si>
  <si>
    <t>8월</t>
  </si>
  <si>
    <t>9월</t>
  </si>
  <si>
    <t>10월</t>
  </si>
  <si>
    <t>11월</t>
  </si>
  <si>
    <t>12월</t>
  </si>
  <si>
    <t>현금 계좌 입력 영역</t>
  </si>
  <si>
    <t>2) 총지출/잔여예산/순자산은 자동 계산됩니다.</t>
  </si>
  <si>
    <t>목표지출</t>
  </si>
  <si>
    <t>기석월급/기석상여/승주월급/승주상여/기타수입</t>
  </si>
  <si>
    <t>1) 매월 말 기준으로 월별 금액을 입력하세요.</t>
  </si>
  <si>
    <t>기업은행(기석)</t>
  </si>
  <si>
    <t>연간 총지출</t>
  </si>
  <si>
    <t>3) 월별 상세는 해당 월 시트에서 확인하세요.</t>
  </si>
  <si>
    <t>2) 현금 계좌명은 A열에서 직접 수정하세요.</t>
  </si>
  <si>
    <t>잔여예산</t>
  </si>
  <si>
    <t>하나은행(기석)</t>
  </si>
  <si>
    <t>연간 마통상환</t>
  </si>
  <si>
    <t>3) 계좌가 늘면 현금 계좌 입력 영역의 빈 행을 사용하세요.</t>
  </si>
  <si>
    <t>케이뱅크(기석)</t>
  </si>
  <si>
    <t>4) 단위는 모두 만원입니다.</t>
  </si>
  <si>
    <t>사용률</t>
  </si>
  <si>
    <t>4) 빈 행이 부족하면 현금합계 바로 위에서 행 삽입하세요.</t>
  </si>
  <si>
    <t>기업은행(승주)</t>
  </si>
  <si>
    <t>연간 잔액차이</t>
  </si>
  <si>
    <t>5) 자산합계/부채합계/순자산/투자비중은 자동 계산됩니다.</t>
  </si>
  <si>
    <t>우리은행(승주)</t>
  </si>
  <si>
    <t>부산은행(승주)</t>
  </si>
  <si>
    <t>케이뱅크(승주)</t>
  </si>
  <si>
    <t>미래에셋CMA</t>
  </si>
  <si>
    <t>4) 포인트·이체·환급은 제외</t>
  </si>
  <si>
    <t>순자산</t>
  </si>
  <si>
    <t>기업은행중금채</t>
  </si>
  <si>
    <t>하나은행적금</t>
  </si>
  <si>
    <t>우리은행적금</t>
  </si>
  <si>
    <t>주택청약(기석)</t>
  </si>
  <si>
    <t>주택청약(승주)</t>
  </si>
  <si>
    <t>부산은행예금</t>
  </si>
  <si>
    <t>현금합계</t>
  </si>
  <si>
    <t>투자/자산 입력 영역</t>
  </si>
  <si>
    <t>토스증권(기석)</t>
  </si>
  <si>
    <t>미래에셋(기석)</t>
  </si>
  <si>
    <t>합계/평균</t>
  </si>
  <si>
    <t>업비트(기석)</t>
  </si>
  <si>
    <t>농협투자(승주)</t>
  </si>
  <si>
    <t>토스증권(승주)</t>
  </si>
  <si>
    <t>퇴직연금(기석)</t>
  </si>
  <si>
    <t>퇴직연금(승주)</t>
  </si>
  <si>
    <t>부동산</t>
  </si>
  <si>
    <t>투자합계</t>
  </si>
  <si>
    <t>자산합계</t>
  </si>
  <si>
    <t>부채 입력 영역</t>
  </si>
  <si>
    <t>주담대</t>
  </si>
  <si>
    <t>마통</t>
  </si>
  <si>
    <t>부채합계</t>
  </si>
  <si>
    <t>01월 한도 관리</t>
  </si>
  <si>
    <t>내역 시트에 복붙하면 자동 집계됩니다. 단위: 원</t>
  </si>
  <si>
    <t>월 예산</t>
  </si>
  <si>
    <t>투자비중</t>
  </si>
  <si>
    <t>02월 한도 관리</t>
  </si>
  <si>
    <t>월 사용</t>
  </si>
  <si>
    <t>잔여</t>
  </si>
  <si>
    <t>총 사용률</t>
  </si>
  <si>
    <t>예산</t>
  </si>
  <si>
    <t>사용</t>
  </si>
  <si>
    <t>남은금액</t>
  </si>
  <si>
    <t>상태</t>
  </si>
  <si>
    <t>진행바</t>
  </si>
  <si>
    <t>위험 TOP3</t>
  </si>
  <si>
    <t>대출</t>
  </si>
  <si>
    <t>순위</t>
  </si>
  <si>
    <t>보험</t>
  </si>
  <si>
    <t>통신비</t>
  </si>
  <si>
    <t>합계</t>
  </si>
  <si>
    <t>주거비</t>
  </si>
  <si>
    <t>생활고정비</t>
  </si>
  <si>
    <t>금융고정비</t>
  </si>
  <si>
    <t>교통</t>
  </si>
  <si>
    <t>03월 한도 관리</t>
  </si>
  <si>
    <t>1) 내역 시트에 뱅샐 내역을 복붙하면 자동 집계됩니다.</t>
  </si>
  <si>
    <t>식비</t>
  </si>
  <si>
    <t>2) 사용률 80% 이상은 주의, 100% 이상은 초과입니다.</t>
  </si>
  <si>
    <t>육아</t>
  </si>
  <si>
    <t>3) 위험 TOP3를 보고 다음 주 소비를 조절하세요.</t>
  </si>
  <si>
    <t>의료비</t>
  </si>
  <si>
    <t>4) 내역 금액은 원 단위, 월별 시트는 만원 단위로 자동 환산됩니다.</t>
  </si>
  <si>
    <t>기타생활비</t>
  </si>
  <si>
    <t>이벤트</t>
  </si>
  <si>
    <t>기석용돈</t>
  </si>
  <si>
    <t>승주용돈</t>
  </si>
  <si>
    <t>04월 한도 관리</t>
  </si>
  <si>
    <t>05월 한도 관리</t>
  </si>
  <si>
    <t>06월 한도 관리</t>
  </si>
  <si>
    <t>07월 한도 관리</t>
  </si>
  <si>
    <t>세금</t>
  </si>
  <si>
    <t>08월 한도 관리</t>
  </si>
  <si>
    <t>09월 한도 관리</t>
  </si>
  <si>
    <t>10월 한도 관리</t>
  </si>
  <si>
    <t>11월 한도 관리</t>
  </si>
  <si>
    <t>12월 한도 관리</t>
  </si>
  <si>
    <t>뱅샐 복붙용 내역</t>
  </si>
  <si>
    <t>뱅크샐러드 내역을 붙여넣는 원본 데이터 시트입니다. 날짜/대분류/금액이 핵심입니다.</t>
  </si>
  <si>
    <t>날짜</t>
  </si>
  <si>
    <t>타입</t>
  </si>
  <si>
    <t>대분류</t>
  </si>
  <si>
    <t>내용</t>
  </si>
  <si>
    <t>금액</t>
  </si>
  <si>
    <t>비고</t>
  </si>
  <si>
    <t>지출</t>
  </si>
  <si>
    <t>쿠팡(쿠페이)</t>
  </si>
  <si>
    <t>1) 뱅샐 내역을 5행부터 붙여넣으세요.</t>
  </si>
  <si>
    <t>수입</t>
  </si>
  <si>
    <t>모두 다 캐시백</t>
  </si>
  <si>
    <t>2) 금액은 원 단위 그대로 사용합니다.</t>
  </si>
  <si>
    <t>주식회사 금정커머스</t>
  </si>
  <si>
    <t>3) 대분류는 최종 카테고리명과 동일해야 합니다.</t>
  </si>
  <si>
    <t>인생고기</t>
  </si>
  <si>
    <t>4) 수입/이체는 제외하고 지출 중심으로 넣는 것을 권장합니다.</t>
  </si>
  <si>
    <t>수입 대분류 기준</t>
  </si>
  <si>
    <t>미분류</t>
  </si>
  <si>
    <t>통장 이자</t>
  </si>
  <si>
    <t>5) 카테고리: 대출, 보험, 통신비, 주거비, 생활고정비, 금융고정비, 교통, 식비, 육아, 기타생활비, 이벤트, 기석용돈, 승주용돈</t>
  </si>
  <si>
    <t>신선미</t>
  </si>
  <si>
    <t>주식회사금정커머스</t>
  </si>
  <si>
    <t>이체</t>
  </si>
  <si>
    <t>이소연</t>
  </si>
  <si>
    <t>스타벅스계좌</t>
  </si>
  <si>
    <t>주)현대백화점미아점 고든램지</t>
  </si>
  <si>
    <t>주)현대백화점미아점 만석</t>
  </si>
  <si>
    <t>※ 타입=수입인 경우 위 5개 사용</t>
  </si>
  <si>
    <t>주)현대백화점미아점 소금빵</t>
  </si>
  <si>
    <t>현금</t>
  </si>
  <si>
    <t>저축</t>
  </si>
  <si>
    <t>이마트-하월곡</t>
  </si>
  <si>
    <t>주)현대백화점미아점</t>
  </si>
  <si>
    <t>우리들약국</t>
  </si>
  <si>
    <t>성북우리아이들병원</t>
  </si>
  <si>
    <t>내계좌이체</t>
  </si>
  <si>
    <t>입금 내역</t>
  </si>
  <si>
    <t>511307**84 ,2605-125회차</t>
  </si>
  <si>
    <t>쿠팡(쿠페이) 우산</t>
  </si>
  <si>
    <t>송금하고 선물 받기</t>
  </si>
  <si>
    <t>주식회사 카카오 누나선물</t>
  </si>
  <si>
    <t>탄소중립실천</t>
  </si>
  <si>
    <t>이기석</t>
  </si>
  <si>
    <t>급여</t>
  </si>
  <si>
    <t>IBK6929</t>
  </si>
  <si>
    <t>IBK6824</t>
  </si>
  <si>
    <t>상여금</t>
  </si>
  <si>
    <t>서울페이</t>
  </si>
  <si>
    <t>미래이기석</t>
  </si>
  <si>
    <t>해국처럼</t>
  </si>
  <si>
    <t>쿠팡이츠 서브웨이</t>
  </si>
  <si>
    <t>주식회사금정커머스 오렌지</t>
  </si>
  <si>
    <t>쿠팡(쿠페이) 우유 등</t>
  </si>
  <si>
    <t>현대백미아점</t>
  </si>
  <si>
    <t>주식회사 금정커머스 블루베리</t>
  </si>
  <si>
    <t>11번가</t>
  </si>
  <si>
    <t>서아서빈인천할머니가</t>
  </si>
  <si>
    <t>뽕구삼촌</t>
  </si>
  <si>
    <t>홈플러스(주)월곡점</t>
  </si>
  <si>
    <t>리안헤어 월곡역점</t>
  </si>
  <si>
    <t>풍한주유소</t>
  </si>
  <si>
    <t>고석태(송림메딕 엄마속옷</t>
  </si>
  <si>
    <t>포메인 레드 일산차병</t>
  </si>
  <si>
    <t>일산차병원</t>
  </si>
  <si>
    <t>보험받음</t>
  </si>
  <si>
    <t>현대해상화재보험</t>
  </si>
  <si>
    <t>실비</t>
  </si>
  <si>
    <t>메리츠권승주</t>
  </si>
  <si>
    <t>보험금</t>
  </si>
  <si>
    <t>홀리데이약국</t>
  </si>
  <si>
    <t>삼성손앤박이비인후과</t>
  </si>
  <si>
    <t>현대백미아점 가지덥밥</t>
  </si>
  <si>
    <t>세이프박스</t>
  </si>
  <si>
    <t>세이프박스에 보관</t>
  </si>
  <si>
    <t>(주)현대백화점미아점 라멘</t>
  </si>
  <si>
    <t>웰빙마트</t>
  </si>
  <si>
    <t>현대/권승주</t>
  </si>
  <si>
    <t>이삭토스트 종암점</t>
  </si>
  <si>
    <t>우아한형제들</t>
  </si>
  <si>
    <t>쿠팡이츠</t>
  </si>
  <si>
    <t>쿠팡(쿠페이) 분유</t>
  </si>
  <si>
    <t>제이엘 MARKET TOP</t>
  </si>
  <si>
    <t>하나장경순</t>
  </si>
  <si>
    <t>굿윌스토어 밀알성북</t>
  </si>
  <si>
    <t>파리바게트 월곡역점</t>
  </si>
  <si>
    <t>주식회사 카카오</t>
  </si>
  <si>
    <t>나이스정보통신 주식회사</t>
  </si>
  <si>
    <t>나이스헤어 하남센트</t>
  </si>
  <si>
    <t>SK 인텔릭스(제휴)_KICC</t>
  </si>
  <si>
    <t>현대체크캐시백</t>
  </si>
  <si>
    <t>대출결산이자</t>
  </si>
  <si>
    <t>SK통신료</t>
  </si>
  <si>
    <t>하나배주현</t>
  </si>
  <si>
    <t>주식회사 아성다이소</t>
  </si>
  <si>
    <t>후불하이패스3건</t>
  </si>
  <si>
    <t>(주)이마트하월곡점</t>
  </si>
  <si>
    <t>오팔당</t>
  </si>
  <si>
    <t>G마켓 분유</t>
  </si>
  <si>
    <t>카페인24 종암SK점</t>
  </si>
  <si>
    <t>카드대금</t>
  </si>
  <si>
    <t>삼성카드</t>
  </si>
  <si>
    <t>하나카드</t>
  </si>
  <si>
    <t>주식회사 카카오 매형선물</t>
  </si>
  <si>
    <t>카카오페이</t>
  </si>
  <si>
    <t>권승주</t>
  </si>
  <si>
    <t>르빵 le pain</t>
  </si>
  <si>
    <t>다이소 하남덕풍점</t>
  </si>
  <si>
    <t>Apple</t>
  </si>
  <si>
    <t>GS25종암SK점</t>
  </si>
  <si>
    <t>보상휴가정산</t>
  </si>
  <si>
    <t>출자금인출</t>
  </si>
  <si>
    <t>팸퍼스공식몰</t>
  </si>
  <si>
    <t>유한회사 풍산주유소</t>
  </si>
  <si>
    <t>씨제이올리브네트웍스 주식회사</t>
  </si>
  <si>
    <t>모던하우스 시원보들</t>
  </si>
  <si>
    <t>CJ올리브영 화장품</t>
  </si>
  <si>
    <t>(주)엠에이치앤코 모던하우스</t>
  </si>
  <si>
    <t>현대백미아점 만석</t>
  </si>
  <si>
    <t>현대백미아점 수제비</t>
  </si>
  <si>
    <t>현대백미아점 소금빵</t>
  </si>
  <si>
    <t>GS25종암SK점 음료</t>
  </si>
  <si>
    <t>수유동주유소</t>
  </si>
  <si>
    <t>애니스튜디오 노원 도봉점</t>
  </si>
  <si>
    <t>주식회사 예스코</t>
  </si>
  <si>
    <t>이혜진</t>
  </si>
  <si>
    <t>토뱅이혜진</t>
  </si>
  <si>
    <t>우지커피 길음뉴타운점</t>
  </si>
  <si>
    <t>큐어라벨 주식회사 오야식</t>
  </si>
  <si>
    <t>주식회사 카카오 수정댈</t>
  </si>
  <si>
    <t>IBK 참 ! 좋은 어린이</t>
  </si>
  <si>
    <t>김희선</t>
  </si>
  <si>
    <t>네이버플러스멤버십</t>
  </si>
  <si>
    <t>카카오페이 윤하생일선물</t>
  </si>
  <si>
    <t>아이메디칼약국</t>
  </si>
  <si>
    <t>농협손해보험</t>
  </si>
  <si>
    <t>성북우리아이들병원 딤플</t>
  </si>
  <si>
    <t>KT통신요금자동납부-571263</t>
  </si>
  <si>
    <t>(주)우아한형제들</t>
  </si>
  <si>
    <t>아파트관리비</t>
  </si>
  <si>
    <t>월급여</t>
  </si>
  <si>
    <t>주택금융공사</t>
  </si>
  <si>
    <t>DB손해보험(주</t>
  </si>
  <si>
    <t>주식회사 카카오 부장님생신</t>
  </si>
  <si>
    <t>케이권승주</t>
  </si>
  <si>
    <t>하나이기석</t>
  </si>
  <si>
    <t>여행적금</t>
  </si>
  <si>
    <t>구글페이먼트 제미나이</t>
  </si>
  <si>
    <t>청약19002(86)</t>
  </si>
  <si>
    <t>현대/권승주 딤플보험</t>
  </si>
  <si>
    <t>당근 분유</t>
  </si>
  <si>
    <t>메가엠지씨커피 종암</t>
  </si>
  <si>
    <t>카카오페이 엔빵</t>
  </si>
  <si>
    <t>아동수당성북구</t>
  </si>
  <si>
    <t>부모급여성북구</t>
  </si>
  <si>
    <t>트레이더스 월계점</t>
  </si>
  <si>
    <t>이자</t>
  </si>
  <si>
    <t>입출금통장 이자</t>
  </si>
  <si>
    <t>정기이자 입금</t>
  </si>
  <si>
    <t>휴대폰메시지(승인안내)-04월분</t>
  </si>
  <si>
    <t>성북우리아이들병원 서아 치과</t>
  </si>
  <si>
    <t>메가엠지씨커피 인천</t>
  </si>
  <si>
    <t>우성그린마트주식회사</t>
  </si>
  <si>
    <t>퓨어랜드공식온라인몰</t>
  </si>
  <si>
    <t>쿠팡 서아팩우유</t>
  </si>
  <si>
    <t>쿠팡(쿠페이) 애사비 우유</t>
  </si>
  <si>
    <t>신한카드</t>
  </si>
  <si>
    <t>KB카드출금</t>
  </si>
  <si>
    <t>새마을05 114</t>
  </si>
  <si>
    <t>피플회비</t>
  </si>
  <si>
    <t>1조회비</t>
  </si>
  <si>
    <t>기회기 회비</t>
  </si>
  <si>
    <t>가족회비</t>
  </si>
  <si>
    <t>패망회비</t>
  </si>
  <si>
    <t>서빈적금</t>
  </si>
  <si>
    <t>아빈자매</t>
  </si>
  <si>
    <t>서아적금</t>
  </si>
  <si>
    <t>5회-이기석</t>
  </si>
  <si>
    <t>에스케이텔레콤(주) 차 커넥트</t>
  </si>
  <si>
    <t>현대백화점카드</t>
  </si>
  <si>
    <t>미래에셋05</t>
  </si>
  <si>
    <t>국가대표 종암점 과일</t>
  </si>
  <si>
    <t>(주)비케이알 버거킹</t>
  </si>
  <si>
    <t>국가대표 종암점 채소</t>
  </si>
  <si>
    <t>비씨카드출금</t>
  </si>
  <si>
    <t>NH손보076회</t>
  </si>
  <si>
    <t>우리카드결제대금</t>
  </si>
  <si>
    <t>미사리밀빛초계국수2</t>
  </si>
  <si>
    <t>이서빈</t>
  </si>
  <si>
    <t>이서아</t>
  </si>
  <si>
    <t>코스트코코리아</t>
  </si>
  <si>
    <t>1번지통닭</t>
  </si>
  <si>
    <t>쿠팡 누룽지</t>
  </si>
  <si>
    <t>쮸쮸아이스크림(종암3</t>
  </si>
  <si>
    <t>★웰페어클럽 캐시백</t>
  </si>
  <si>
    <t>삼성손앤박이비인후과 서아로션</t>
  </si>
  <si>
    <t>교통비(20260303)</t>
  </si>
  <si>
    <t>03월 통신비</t>
  </si>
  <si>
    <t>04월 통신비</t>
  </si>
  <si>
    <t>국가대표 종암점</t>
  </si>
  <si>
    <t>어가촌</t>
  </si>
  <si>
    <t>유한회사풍산주유소</t>
  </si>
  <si>
    <t>버거킹</t>
  </si>
  <si>
    <t>511307**84 ,2606-126회차</t>
  </si>
  <si>
    <t>쿠팡이츠 피자</t>
  </si>
  <si>
    <t>CJ올리브영</t>
  </si>
  <si>
    <t>권승주 가족회비</t>
  </si>
  <si>
    <t>이자 바로 받기</t>
  </si>
  <si>
    <t>쿠팡(쿠페이) 뽀로로 보리차</t>
  </si>
  <si>
    <t>쿠팡 버블클렌저</t>
  </si>
  <si>
    <t>카카오(c)</t>
  </si>
  <si>
    <t>빽다방 성신여대입구</t>
  </si>
  <si>
    <t>교통요금</t>
  </si>
  <si>
    <t>쿠팡(쿠페이) 기저귀</t>
  </si>
  <si>
    <t>(주)케이비손해보험</t>
  </si>
  <si>
    <t>발상코퍼레이션 목견인</t>
  </si>
  <si>
    <t>씨제이올리브네트웍 메가</t>
  </si>
  <si>
    <t>호랑이신경외과의원</t>
  </si>
  <si>
    <t>장앤항</t>
  </si>
  <si>
    <t>장N항외과</t>
  </si>
  <si>
    <t>미사우리약국</t>
  </si>
  <si>
    <t>새마을금고공제</t>
  </si>
  <si>
    <t>쿠팡 보관함</t>
  </si>
  <si>
    <t>호랑이신경외과의</t>
  </si>
  <si>
    <t>춘원당한방병원</t>
  </si>
  <si>
    <t>주식회사금정커머</t>
  </si>
  <si>
    <t>더벤티 종암사거리점</t>
  </si>
  <si>
    <t>위틀스토어</t>
  </si>
  <si>
    <t>(주)이마트 하월곡점</t>
  </si>
  <si>
    <t>쿠팡 우유</t>
  </si>
  <si>
    <t>쿠팡(쿠페이) 김치</t>
  </si>
  <si>
    <t>쿠팡 치즈과자</t>
  </si>
  <si>
    <t>그라츠과자점</t>
  </si>
  <si>
    <t>탯줄도장 엄마랑</t>
  </si>
  <si>
    <t>일프레소 코업스타클</t>
  </si>
  <si>
    <t>세븐일레븐 청계센터</t>
  </si>
  <si>
    <t>쿠팡 팬티</t>
  </si>
  <si>
    <t>후불하이패스5건</t>
  </si>
  <si>
    <t>교통-지하철6건</t>
  </si>
  <si>
    <t>교통-버스4건</t>
  </si>
  <si>
    <t>주식회사 스타필드하</t>
  </si>
  <si>
    <t>신한카드캐시백</t>
  </si>
  <si>
    <t>한과향 미국선물</t>
  </si>
  <si>
    <t>성과상여금</t>
  </si>
  <si>
    <t>메가엠지씨커피 월곡이마트점</t>
  </si>
  <si>
    <t>좋은가게 가지</t>
  </si>
  <si>
    <t>GS25종암SK점 맥주</t>
  </si>
  <si>
    <t>2026년결산</t>
  </si>
  <si>
    <t>내계좌로 이체</t>
  </si>
  <si>
    <t>대교에듀캠프 트니트니</t>
  </si>
  <si>
    <t>후불교통대금</t>
  </si>
  <si>
    <t>화이트리에</t>
  </si>
  <si>
    <t>매머드익스프레스미사</t>
  </si>
  <si>
    <t>유장근</t>
  </si>
  <si>
    <t>바른온누리약국</t>
  </si>
  <si>
    <t>지에스25 뉴종암본점</t>
  </si>
  <si>
    <t>몽땅떡볶이</t>
  </si>
  <si>
    <t>(주)중앙에너비스 종암지점</t>
  </si>
  <si>
    <t>기업주영근 이사계약금</t>
  </si>
  <si>
    <t>카카권승주</t>
  </si>
  <si>
    <t>카카오스타일 엄마신발</t>
  </si>
  <si>
    <t>맥도날드</t>
  </si>
  <si>
    <t>이디야 IBK본점</t>
  </si>
  <si>
    <t>성북세무서</t>
  </si>
  <si>
    <t>웰빙마트 까까</t>
  </si>
  <si>
    <t>민속떡집</t>
  </si>
  <si>
    <t>03.21~06.19</t>
  </si>
  <si>
    <t>예금결산이자</t>
  </si>
  <si>
    <t>*****</t>
  </si>
  <si>
    <t>신한고안나 서아 문센재료비</t>
  </si>
  <si>
    <t>뉴발란스 키즈 공식몰</t>
  </si>
  <si>
    <t>이경옥(매머드익스프</t>
  </si>
  <si>
    <t>쿠팡 서아팬티</t>
  </si>
  <si>
    <t>기업비씨카드</t>
  </si>
  <si>
    <t>휴대폰메시지(승인안내)-05월분</t>
  </si>
  <si>
    <t>주택청약</t>
  </si>
  <si>
    <t>류수한 과장 축의</t>
  </si>
  <si>
    <t>쿠팡 방수기저귀</t>
  </si>
  <si>
    <t>쿠팡(쿠페이) 김치 과자</t>
  </si>
  <si>
    <t>롯데쇼핑(주) 분유</t>
  </si>
  <si>
    <t>일년의설렘카드캐시백</t>
  </si>
  <si>
    <t>쿠팡(쿠페이) 매직캔 비닐</t>
  </si>
  <si>
    <t>하남번호판제작소</t>
  </si>
  <si>
    <t>성북구지방소득</t>
  </si>
  <si>
    <t>에스케이텔레콤(주) 기아 커넥트</t>
  </si>
  <si>
    <t>투자</t>
  </si>
  <si>
    <t>서빈 금반지</t>
  </si>
  <si>
    <t>롯데 베테랑 칼국수</t>
  </si>
  <si>
    <t>롯데 묵은지김밥</t>
  </si>
  <si>
    <t>폴 바셋 을지로 파인</t>
  </si>
  <si>
    <t>새마을06 115</t>
  </si>
  <si>
    <t>NH손보077회</t>
  </si>
  <si>
    <t>고영숙</t>
  </si>
  <si>
    <t>미래에셋06</t>
  </si>
  <si>
    <t>6회-이기석</t>
  </si>
  <si>
    <t>월송리보리밥</t>
  </si>
  <si>
    <t>아이약국</t>
  </si>
  <si>
    <t>파리바게뜨원주기업이지더원점</t>
  </si>
  <si>
    <t>파리바게뜨원주기업이</t>
  </si>
  <si>
    <t>지에스 더프레시 원주</t>
  </si>
  <si>
    <t>퍼니팩토리</t>
  </si>
  <si>
    <t>미스터피자</t>
  </si>
  <si>
    <t>오크밸리 소고기 볶음밥</t>
  </si>
  <si>
    <t>씨유(CU) 타이레놀</t>
  </si>
  <si>
    <t>GS25 오크밸리골프점 물</t>
  </si>
  <si>
    <t>(주)스타벅스커피 코</t>
  </si>
  <si>
    <t>SC김효근황해도떡집</t>
  </si>
  <si>
    <t>오크밸리 수영장</t>
  </si>
  <si>
    <t>오크밸리 수영장 테이블</t>
  </si>
  <si>
    <t>오크밸리 수영장 식사</t>
  </si>
  <si>
    <t>오크밸리 무선자동차</t>
  </si>
  <si>
    <t>홀인원</t>
  </si>
  <si>
    <t>GS25 맥주</t>
  </si>
  <si>
    <t>월송주유소</t>
  </si>
  <si>
    <t>(주)케이알산업 하남(만)휴게소</t>
  </si>
  <si>
    <t>엄마 백일축하금</t>
  </si>
  <si>
    <t>누나 백일축하금</t>
  </si>
  <si>
    <t>하나적금이자</t>
  </si>
  <si>
    <t>이창원</t>
  </si>
  <si>
    <t>육지현</t>
  </si>
  <si>
    <t>김지영</t>
  </si>
  <si>
    <t>GS25하남광암점</t>
  </si>
  <si>
    <t>이*석</t>
  </si>
  <si>
    <t>이환희</t>
  </si>
  <si>
    <t>주식회사 태린 고쟁이 교환</t>
  </si>
  <si>
    <t>쿠팡(쿠페이) 낫토 닭가슴</t>
  </si>
  <si>
    <t>쿠팡 다이어트 도시락</t>
  </si>
  <si>
    <t>카페인24 종암SK</t>
  </si>
  <si>
    <t>성북구청 부동산서류</t>
  </si>
  <si>
    <t>쿠팡 모기장</t>
  </si>
  <si>
    <t>쿠팡 서아우유</t>
  </si>
  <si>
    <t>청약</t>
  </si>
  <si>
    <t>네이버페이 무스텔라</t>
  </si>
  <si>
    <t>종암점 메가</t>
  </si>
  <si>
    <t>안심밥상</t>
  </si>
  <si>
    <t>싧</t>
  </si>
  <si>
    <t>지에스칼텍스(주)계산신도시주유소</t>
  </si>
  <si>
    <t>PAYCO오더</t>
  </si>
  <si>
    <t>네이버페이 물티슈</t>
  </si>
  <si>
    <t>테라커피 계양구청점</t>
  </si>
  <si>
    <t>쿠팡</t>
  </si>
  <si>
    <t>05월 통신비</t>
  </si>
  <si>
    <t>쿠팡(쿠페이) 과자 치즈</t>
  </si>
  <si>
    <t>삼성6005 번호판</t>
  </si>
  <si>
    <t>국민한은지(달달한</t>
  </si>
  <si>
    <t>쿠팡(쿠페이) 모기장</t>
  </si>
  <si>
    <t>주)중앙에너비스종암지점</t>
  </si>
  <si>
    <t>SK마트 맥주</t>
  </si>
  <si>
    <t>교통-지하철9건</t>
  </si>
  <si>
    <t>교통-버스2건</t>
  </si>
  <si>
    <t>후불하이패스11건</t>
  </si>
  <si>
    <t>애니스튜디오</t>
  </si>
  <si>
    <t>쿠팡 우유 김치</t>
  </si>
  <si>
    <t>현대백미아점 소금산소금빵</t>
  </si>
  <si>
    <t>현금IC결제캐쉬백</t>
  </si>
  <si>
    <t>현대백화점 미아점 꽈배기</t>
  </si>
  <si>
    <t>주)현대백화점미아점 사보텐</t>
  </si>
  <si>
    <t>심*연</t>
  </si>
  <si>
    <t>권*주</t>
  </si>
  <si>
    <t>송금 내역</t>
  </si>
  <si>
    <t>이*기</t>
  </si>
  <si>
    <t>부산5079</t>
  </si>
  <si>
    <t>부산5749</t>
  </si>
  <si>
    <t>하남풍산한의원 진단서</t>
  </si>
  <si>
    <t>금고이서빈</t>
  </si>
  <si>
    <t>성북구청 서빈 상세명세서</t>
  </si>
  <si>
    <t>그라츠과자점 서아 빵</t>
  </si>
  <si>
    <t>(주)비케이알 버거</t>
  </si>
  <si>
    <t>홀리데이약국 서빈약</t>
  </si>
  <si>
    <t>삼성손앤박이비인후과 서빈 병원진료</t>
  </si>
  <si>
    <t>(주)비케이알 버거킹 종암점</t>
  </si>
  <si>
    <t>현대체크카드 연회비</t>
  </si>
  <si>
    <t>서울시세입금(지</t>
  </si>
  <si>
    <t>서울시세입금(지방세_상하수도등)</t>
  </si>
  <si>
    <t>쿠팡이츠 보쌈</t>
  </si>
  <si>
    <t>쿠팡(쿠페이) 갈비탕</t>
  </si>
  <si>
    <t>담양곤충박물관 현백 반딧불</t>
  </si>
  <si>
    <t>네이버페이</t>
  </si>
  <si>
    <t>출산급여고용부</t>
  </si>
  <si>
    <t>주식회사 카카오 오준이</t>
  </si>
  <si>
    <t>쿠팡(쿠페이) 쌀</t>
  </si>
  <si>
    <t>달달한사진관</t>
  </si>
  <si>
    <t>삼성손앤박이비인</t>
  </si>
  <si>
    <t>하이파킹 사진촬영 주차비</t>
  </si>
  <si>
    <t>(주)코리아세븐M신 승주 물</t>
  </si>
  <si>
    <t>주식회사 아성다이소 승주간식</t>
  </si>
  <si>
    <t>신한박춘희 첫세신</t>
  </si>
  <si>
    <t>주식회사숲속랜드 찜질방</t>
  </si>
  <si>
    <t>이름 없는 내역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</si>
</sst>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#,##0.0;[Red]\(#,##0.0\);\-"/>
    <numFmt numFmtId="166" formatCode="yyyy\-mm\-dd"/>
    <numFmt numFmtId="167" formatCode="yyyy-mm-dd"/>
  </numFmts>
  <fonts count="14">
    <font>
      <sz val="11.0"/>
      <color theme="1"/>
      <name val="Calibri"/>
      <scheme val="minor"/>
    </font>
    <font>
      <b/>
      <sz val="14.0"/>
      <color rgb="FFFFFFFF"/>
      <name val="Calibri"/>
    </font>
    <font>
      <sz val="10.0"/>
      <color rgb="FF595959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8.0"/>
      <color rgb="FF1F4E78"/>
      <name val="Calibri"/>
    </font>
    <font>
      <b/>
      <sz val="11.0"/>
      <color rgb="FF7030A0"/>
      <name val="Calibri"/>
    </font>
    <font>
      <b/>
      <sz val="11.0"/>
      <color rgb="FF000000"/>
      <name val="Calibri"/>
    </font>
    <font>
      <b/>
      <sz val="16.0"/>
      <color rgb="FF1F4E78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rgb="FF0000FF"/>
      <name val="Calibri"/>
    </font>
    <font>
      <color theme="1"/>
      <name val="Calibri"/>
      <scheme val="minor"/>
    </font>
    <font>
      <sz val="11.0"/>
      <color rgb="FF000000"/>
      <name val="&quot;맑은 고딕&quot;"/>
    </font>
  </fonts>
  <fills count="1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EADCF8"/>
        <bgColor rgb="FFEADCF8"/>
      </patternFill>
    </fill>
    <fill>
      <patternFill patternType="solid">
        <fgColor rgb="FFD9EAF7"/>
        <bgColor rgb="FFD9EAF7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00A6A6"/>
        <bgColor rgb="FF00A6A6"/>
      </patternFill>
    </fill>
    <fill>
      <patternFill patternType="solid">
        <fgColor rgb="FF595959"/>
        <bgColor rgb="FF595959"/>
      </patternFill>
    </fill>
    <fill>
      <patternFill patternType="solid">
        <fgColor rgb="FFFCE4D6"/>
        <bgColor rgb="FFFCE4D6"/>
      </patternFill>
    </fill>
    <fill>
      <patternFill patternType="solid">
        <fgColor rgb="FFF4B183"/>
        <bgColor rgb="FFF4B183"/>
      </patternFill>
    </fill>
  </fills>
  <borders count="6">
    <border/>
    <border>
      <left/>
      <right/>
      <top/>
      <bottom/>
    </border>
    <border>
      <bottom style="thin">
        <color rgb="FFD9D9D9"/>
      </bottom>
    </border>
    <border>
      <left/>
      <right/>
      <top/>
      <bottom style="thin">
        <color rgb="FFD9D9D9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/>
      <right/>
      <top style="medium">
        <color rgb="FF1F4E78"/>
      </top>
      <bottom style="medium">
        <color rgb="FF1F4E78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left"/>
    </xf>
    <xf borderId="2" fillId="0" fontId="2" numFmtId="0" xfId="0" applyAlignment="1" applyBorder="1" applyFont="1">
      <alignment vertical="center"/>
    </xf>
    <xf borderId="3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shrinkToFit="0" wrapText="1"/>
    </xf>
    <xf borderId="0" fillId="0" fontId="4" numFmtId="3" xfId="0" applyFont="1" applyNumberFormat="1"/>
    <xf borderId="0" fillId="0" fontId="5" numFmtId="0" xfId="0" applyAlignment="1" applyFont="1">
      <alignment vertical="center"/>
    </xf>
    <xf borderId="2" fillId="0" fontId="4" numFmtId="0" xfId="0" applyAlignment="1" applyBorder="1" applyFont="1">
      <alignment vertical="center"/>
    </xf>
    <xf borderId="3" fillId="5" fontId="6" numFmtId="0" xfId="0" applyAlignment="1" applyBorder="1" applyFill="1" applyFont="1">
      <alignment vertical="center"/>
    </xf>
    <xf borderId="3" fillId="5" fontId="7" numFmtId="0" xfId="0" applyAlignment="1" applyBorder="1" applyFont="1">
      <alignment vertical="center"/>
    </xf>
    <xf borderId="3" fillId="2" fontId="3" numFmtId="0" xfId="0" applyAlignment="1" applyBorder="1" applyFont="1">
      <alignment vertical="center"/>
    </xf>
    <xf borderId="3" fillId="5" fontId="4" numFmtId="0" xfId="0" applyAlignment="1" applyBorder="1" applyFont="1">
      <alignment vertical="center"/>
    </xf>
    <xf borderId="2" fillId="0" fontId="4" numFmtId="3" xfId="0" applyAlignment="1" applyBorder="1" applyFont="1" applyNumberFormat="1">
      <alignment vertical="center"/>
    </xf>
    <xf borderId="2" fillId="0" fontId="4" numFmtId="9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0" fillId="0" fontId="4" numFmtId="0" xfId="0" applyAlignment="1" applyFont="1">
      <alignment vertical="center"/>
    </xf>
    <xf borderId="3" fillId="6" fontId="9" numFmtId="0" xfId="0" applyAlignment="1" applyBorder="1" applyFill="1" applyFont="1">
      <alignment vertical="center"/>
    </xf>
    <xf borderId="3" fillId="5" fontId="6" numFmtId="0" xfId="0" applyAlignment="1" applyBorder="1" applyFont="1">
      <alignment readingOrder="0" vertical="center"/>
    </xf>
    <xf borderId="3" fillId="4" fontId="7" numFmtId="0" xfId="0" applyAlignment="1" applyBorder="1" applyFont="1">
      <alignment vertical="center"/>
    </xf>
    <xf borderId="1" fillId="7" fontId="9" numFmtId="0" xfId="0" applyAlignment="1" applyBorder="1" applyFill="1" applyFont="1">
      <alignment vertical="center"/>
    </xf>
    <xf borderId="3" fillId="4" fontId="4" numFmtId="0" xfId="0" applyAlignment="1" applyBorder="1" applyFont="1">
      <alignment vertical="center"/>
    </xf>
    <xf borderId="3" fillId="8" fontId="9" numFmtId="0" xfId="0" applyAlignment="1" applyBorder="1" applyFill="1" applyFont="1">
      <alignment vertical="center"/>
    </xf>
    <xf borderId="4" fillId="2" fontId="3" numFmtId="0" xfId="0" applyAlignment="1" applyBorder="1" applyFont="1">
      <alignment vertical="center"/>
    </xf>
    <xf borderId="3" fillId="9" fontId="10" numFmtId="3" xfId="0" applyAlignment="1" applyBorder="1" applyFill="1" applyFont="1" applyNumberFormat="1">
      <alignment vertical="center"/>
    </xf>
    <xf borderId="0" fillId="0" fontId="9" numFmtId="0" xfId="0" applyAlignment="1" applyFont="1">
      <alignment vertical="center"/>
    </xf>
    <xf borderId="3" fillId="4" fontId="10" numFmtId="3" xfId="0" applyAlignment="1" applyBorder="1" applyFont="1" applyNumberFormat="1">
      <alignment vertical="center"/>
    </xf>
    <xf borderId="4" fillId="4" fontId="9" numFmtId="0" xfId="0" applyAlignment="1" applyBorder="1" applyFont="1">
      <alignment vertical="center"/>
    </xf>
    <xf borderId="1" fillId="7" fontId="4" numFmtId="0" xfId="0" applyAlignment="1" applyBorder="1" applyFont="1">
      <alignment vertical="center"/>
    </xf>
    <xf borderId="0" fillId="0" fontId="11" numFmtId="0" xfId="0" applyAlignment="1" applyFont="1">
      <alignment readingOrder="0" vertical="center"/>
    </xf>
    <xf borderId="0" fillId="0" fontId="11" numFmtId="3" xfId="0" applyAlignment="1" applyFont="1" applyNumberFormat="1">
      <alignment vertical="center"/>
    </xf>
    <xf borderId="0" fillId="0" fontId="11" numFmtId="3" xfId="0" applyAlignment="1" applyFont="1" applyNumberFormat="1">
      <alignment readingOrder="0" vertical="center"/>
    </xf>
    <xf borderId="3" fillId="9" fontId="10" numFmtId="4" xfId="0" applyAlignment="1" applyBorder="1" applyFont="1" applyNumberFormat="1">
      <alignment vertical="center"/>
    </xf>
    <xf borderId="3" fillId="10" fontId="3" numFmtId="0" xfId="0" applyAlignment="1" applyBorder="1" applyFill="1" applyFont="1">
      <alignment vertical="center"/>
    </xf>
    <xf borderId="4" fillId="4" fontId="9" numFmtId="3" xfId="0" applyAlignment="1" applyBorder="1" applyFont="1" applyNumberFormat="1">
      <alignment vertical="center"/>
    </xf>
    <xf borderId="4" fillId="7" fontId="9" numFmtId="0" xfId="0" applyAlignment="1" applyBorder="1" applyFont="1">
      <alignment vertical="center"/>
    </xf>
    <xf borderId="3" fillId="11" fontId="3" numFmtId="0" xfId="0" applyAlignment="1" applyBorder="1" applyFill="1" applyFont="1">
      <alignment vertical="center"/>
    </xf>
    <xf borderId="3" fillId="11" fontId="3" numFmtId="3" xfId="0" applyAlignment="1" applyBorder="1" applyFont="1" applyNumberFormat="1">
      <alignment vertical="center"/>
    </xf>
    <xf borderId="3" fillId="7" fontId="3" numFmtId="3" xfId="0" applyAlignment="1" applyBorder="1" applyFont="1" applyNumberFormat="1">
      <alignment vertical="center"/>
    </xf>
    <xf borderId="3" fillId="11" fontId="3" numFmtId="9" xfId="0" applyAlignment="1" applyBorder="1" applyFont="1" applyNumberFormat="1">
      <alignment vertical="center"/>
    </xf>
    <xf borderId="5" fillId="11" fontId="3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0" fillId="5" fontId="9" numFmtId="0" xfId="0" applyAlignment="1" applyFont="1">
      <alignment readingOrder="0" vertical="center"/>
    </xf>
    <xf borderId="0" fillId="5" fontId="9" numFmtId="3" xfId="0" applyAlignment="1" applyFont="1" applyNumberFormat="1">
      <alignment vertical="center"/>
    </xf>
    <xf borderId="4" fillId="7" fontId="9" numFmtId="3" xfId="0" applyAlignment="1" applyBorder="1" applyFont="1" applyNumberFormat="1">
      <alignment vertical="center"/>
    </xf>
    <xf borderId="4" fillId="12" fontId="9" numFmtId="0" xfId="0" applyAlignment="1" applyBorder="1" applyFill="1" applyFont="1">
      <alignment vertical="center"/>
    </xf>
    <xf borderId="4" fillId="12" fontId="9" numFmtId="3" xfId="0" applyAlignment="1" applyBorder="1" applyFont="1" applyNumberFormat="1">
      <alignment vertical="center"/>
    </xf>
    <xf borderId="4" fillId="6" fontId="9" numFmtId="0" xfId="0" applyAlignment="1" applyBorder="1" applyFont="1">
      <alignment vertical="center"/>
    </xf>
    <xf borderId="4" fillId="6" fontId="9" numFmtId="3" xfId="0" applyAlignment="1" applyBorder="1" applyFont="1" applyNumberFormat="1">
      <alignment vertical="center"/>
    </xf>
    <xf borderId="4" fillId="9" fontId="9" numFmtId="0" xfId="0" applyAlignment="1" applyBorder="1" applyFont="1">
      <alignment vertical="center"/>
    </xf>
    <xf borderId="3" fillId="8" fontId="9" numFmtId="3" xfId="0" applyAlignment="1" applyBorder="1" applyFont="1" applyNumberFormat="1">
      <alignment vertical="center"/>
    </xf>
    <xf borderId="4" fillId="9" fontId="9" numFmtId="164" xfId="0" applyAlignment="1" applyBorder="1" applyFont="1" applyNumberFormat="1">
      <alignment vertical="center"/>
    </xf>
    <xf borderId="3" fillId="8" fontId="9" numFmtId="164" xfId="0" applyAlignment="1" applyBorder="1" applyFont="1" applyNumberFormat="1">
      <alignment vertical="center"/>
    </xf>
    <xf borderId="3" fillId="9" fontId="10" numFmtId="165" xfId="0" applyAlignment="1" applyBorder="1" applyFont="1" applyNumberFormat="1">
      <alignment vertical="center"/>
    </xf>
    <xf borderId="3" fillId="9" fontId="10" numFmtId="9" xfId="0" applyAlignment="1" applyBorder="1" applyFont="1" applyNumberFormat="1">
      <alignment vertical="center"/>
    </xf>
    <xf borderId="4" fillId="2" fontId="3" numFmtId="0" xfId="0" applyAlignment="1" applyBorder="1" applyFont="1">
      <alignment horizontal="center" vertical="center"/>
    </xf>
    <xf borderId="3" fillId="13" fontId="7" numFmtId="0" xfId="0" applyAlignment="1" applyBorder="1" applyFill="1" applyFont="1">
      <alignment vertical="center"/>
    </xf>
    <xf borderId="4" fillId="3" fontId="3" numFmtId="0" xfId="0" applyAlignment="1" applyBorder="1" applyFont="1">
      <alignment vertical="center"/>
    </xf>
    <xf borderId="2" fillId="0" fontId="4" numFmtId="164" xfId="0" applyAlignment="1" applyBorder="1" applyFont="1" applyNumberFormat="1">
      <alignment vertical="center"/>
    </xf>
    <xf borderId="0" fillId="0" fontId="4" numFmtId="3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3" fillId="13" fontId="3" numFmtId="0" xfId="0" applyAlignment="1" applyBorder="1" applyFont="1">
      <alignment vertical="center"/>
    </xf>
    <xf borderId="2" fillId="0" fontId="4" numFmtId="165" xfId="0" applyAlignment="1" applyBorder="1" applyFont="1" applyNumberFormat="1">
      <alignment vertical="center"/>
    </xf>
    <xf borderId="1" fillId="7" fontId="9" numFmtId="3" xfId="0" applyBorder="1" applyFont="1" applyNumberFormat="1"/>
    <xf borderId="2" fillId="0" fontId="4" numFmtId="0" xfId="0" applyAlignment="1" applyBorder="1" applyFont="1">
      <alignment readingOrder="0" vertical="center"/>
    </xf>
    <xf borderId="2" fillId="0" fontId="4" numFmtId="3" xfId="0" applyAlignment="1" applyBorder="1" applyFont="1" applyNumberFormat="1">
      <alignment readingOrder="0" vertical="center"/>
    </xf>
    <xf borderId="4" fillId="7" fontId="7" numFmtId="0" xfId="0" applyAlignment="1" applyBorder="1" applyFont="1">
      <alignment horizontal="center" vertical="center"/>
    </xf>
    <xf borderId="4" fillId="7" fontId="7" numFmtId="3" xfId="0" applyAlignment="1" applyBorder="1" applyFont="1" applyNumberFormat="1">
      <alignment horizontal="center" vertical="center"/>
    </xf>
    <xf borderId="4" fillId="7" fontId="7" numFmtId="164" xfId="0" applyAlignment="1" applyBorder="1" applyFont="1" applyNumberFormat="1">
      <alignment horizontal="center" vertical="center"/>
    </xf>
    <xf borderId="0" fillId="0" fontId="12" numFmtId="3" xfId="0" applyFont="1" applyNumberFormat="1"/>
    <xf borderId="3" fillId="8" fontId="7" numFmtId="0" xfId="0" applyAlignment="1" applyBorder="1" applyFont="1">
      <alignment vertical="center"/>
    </xf>
    <xf borderId="0" fillId="0" fontId="13" numFmtId="166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3" fillId="8" fontId="4" numFmtId="0" xfId="0" applyAlignment="1" applyBorder="1" applyFont="1">
      <alignment vertical="center"/>
    </xf>
    <xf borderId="0" fillId="0" fontId="13" numFmtId="167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4"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월별 총지출 vs 총수입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총지출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'대시보드'!$G$11:$G$22</c:f>
            </c:strRef>
          </c:cat>
          <c:val>
            <c:numRef>
              <c:f>'대시보드'!$H$11:$H$22</c:f>
              <c:numCache/>
            </c:numRef>
          </c:val>
        </c:ser>
        <c:ser>
          <c:idx val="1"/>
          <c:order val="1"/>
          <c:tx>
            <c:v>총수입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'대시보드'!$G$11:$G$22</c:f>
            </c:strRef>
          </c:cat>
          <c:val>
            <c:numRef>
              <c:f>'대시보드'!$I$11:$I$22</c:f>
              <c:numCache/>
            </c:numRef>
          </c:val>
        </c:ser>
        <c:axId val="265165866"/>
        <c:axId val="1521472752"/>
      </c:barChart>
      <c:catAx>
        <c:axId val="265165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월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1472752"/>
      </c:catAx>
      <c:valAx>
        <c:axId val="1521472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만원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51658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월별 순자산 추이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순자산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'대시보드'!$G$11:$G$22</c:f>
            </c:strRef>
          </c:cat>
          <c:val>
            <c:numRef>
              <c:f>'대시보드'!$K$11:$K$22</c:f>
              <c:numCache/>
            </c:numRef>
          </c:val>
          <c:smooth val="0"/>
        </c:ser>
        <c:axId val="77469566"/>
        <c:axId val="1720654929"/>
      </c:lineChart>
      <c:catAx>
        <c:axId val="77469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월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654929"/>
      </c:catAx>
      <c:valAx>
        <c:axId val="172065492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만원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69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자산합계 / 부채합계 / 순자산 추이</a:t>
            </a:r>
          </a:p>
        </c:rich>
      </c:tx>
      <c:overlay val="0"/>
    </c:title>
    <c:plotArea>
      <c:layout/>
      <c:lineChart>
        <c:ser>
          <c:idx val="0"/>
          <c:order val="0"/>
          <c:tx>
            <c:v>자산합계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'총자산'!$A$44:$A$55</c:f>
            </c:strRef>
          </c:cat>
          <c:val>
            <c:numRef>
              <c:f>'총자산'!$B$44:$B$55</c:f>
              <c:numCache/>
            </c:numRef>
          </c:val>
          <c:smooth val="0"/>
        </c:ser>
        <c:ser>
          <c:idx val="1"/>
          <c:order val="1"/>
          <c:tx>
            <c:v>부채합계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'총자산'!$A$44:$A$55</c:f>
            </c:strRef>
          </c:cat>
          <c:val>
            <c:numRef>
              <c:f>'총자산'!$C$44:$C$55</c:f>
              <c:numCache/>
            </c:numRef>
          </c:val>
          <c:smooth val="0"/>
        </c:ser>
        <c:ser>
          <c:idx val="2"/>
          <c:order val="2"/>
          <c:tx>
            <c:v>순자산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'총자산'!$A$44:$A$55</c:f>
            </c:strRef>
          </c:cat>
          <c:val>
            <c:numRef>
              <c:f>'총자산'!$D$44:$D$55</c:f>
              <c:numCache/>
            </c:numRef>
          </c:val>
          <c:smooth val="0"/>
        </c:ser>
        <c:axId val="270495826"/>
        <c:axId val="1651863534"/>
      </c:lineChart>
      <c:catAx>
        <c:axId val="270495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월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863534"/>
      </c:catAx>
      <c:valAx>
        <c:axId val="165186353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금액(원)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4958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투자비중 추이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투자비중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'총자산'!$A$44:$A$55</c:f>
            </c:strRef>
          </c:cat>
          <c:val>
            <c:numRef>
              <c:f>'총자산'!$E$44:$E$55</c:f>
              <c:numCache/>
            </c:numRef>
          </c:val>
          <c:smooth val="0"/>
        </c:ser>
        <c:axId val="1314079951"/>
        <c:axId val="1664775577"/>
      </c:lineChart>
      <c:catAx>
        <c:axId val="1314079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월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4775577"/>
      </c:catAx>
      <c:valAx>
        <c:axId val="166477557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투자비중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0799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180975</xdr:rowOff>
    </xdr:from>
    <xdr:ext cx="5038725" cy="2514600"/>
    <xdr:graphicFrame>
      <xdr:nvGraphicFramePr>
        <xdr:cNvPr id="1482899002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971550</xdr:colOff>
      <xdr:row>23</xdr:row>
      <xdr:rowOff>152400</xdr:rowOff>
    </xdr:from>
    <xdr:ext cx="5038725" cy="2514600"/>
    <xdr:graphicFrame>
      <xdr:nvGraphicFramePr>
        <xdr:cNvPr id="619824158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57</xdr:row>
      <xdr:rowOff>0</xdr:rowOff>
    </xdr:from>
    <xdr:ext cx="7915275" cy="3238500"/>
    <xdr:graphicFrame>
      <xdr:nvGraphicFramePr>
        <xdr:cNvPr id="68510216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77</xdr:row>
      <xdr:rowOff>0</xdr:rowOff>
    </xdr:from>
    <xdr:ext cx="7915275" cy="3238500"/>
    <xdr:graphicFrame>
      <xdr:nvGraphicFramePr>
        <xdr:cNvPr id="56979719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A6A6"/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4.0"/>
    <col customWidth="1" min="3" max="3" width="5.0"/>
    <col customWidth="1" min="4" max="4" width="16.0"/>
    <col customWidth="1" min="5" max="5" width="14.0"/>
    <col customWidth="1" min="6" max="6" width="5.0"/>
    <col customWidth="1" min="7" max="11" width="18.0"/>
    <col customWidth="1" min="12" max="26" width="8.71"/>
  </cols>
  <sheetData>
    <row r="1">
      <c r="A1" s="7" t="s">
        <v>33</v>
      </c>
    </row>
    <row r="2">
      <c r="A2" s="3" t="s">
        <v>35</v>
      </c>
    </row>
    <row r="4">
      <c r="A4" s="17" t="s">
        <v>36</v>
      </c>
      <c r="B4" s="18">
        <v>7.0</v>
      </c>
      <c r="G4" s="19" t="s">
        <v>11</v>
      </c>
    </row>
    <row r="5">
      <c r="G5" s="21" t="s">
        <v>39</v>
      </c>
    </row>
    <row r="6">
      <c r="A6" s="22" t="s">
        <v>16</v>
      </c>
      <c r="B6" s="24">
        <f>CHOOSE($B$4,'01월'!C22,'02월'!C22,'03월'!C22,'04월'!C22,'05월'!C22,'06월'!C22,'07월'!C23,'08월'!C23,'09월'!C23,'10월'!C23,'11월'!C23,'12월'!C23)</f>
        <v>2213768</v>
      </c>
      <c r="D6" s="22" t="s">
        <v>42</v>
      </c>
      <c r="E6" s="26">
        <f>SUM('연간현황'!H5:H16)</f>
        <v>34759585</v>
      </c>
      <c r="G6" s="21" t="s">
        <v>49</v>
      </c>
    </row>
    <row r="7">
      <c r="A7" s="22" t="s">
        <v>50</v>
      </c>
      <c r="B7" s="24">
        <f>CHOOSE($B$4,'01월'!B22,'02월'!B22,'03월'!B22,'04월'!B22,'05월'!B22,'06월'!B22,'07월'!B23,'08월'!B23,'09월'!B23,'10월'!B23,'11월'!B23,'12월'!B23)</f>
        <v>6880000</v>
      </c>
      <c r="D7" s="22" t="s">
        <v>54</v>
      </c>
      <c r="E7" s="26">
        <f>SUM('연간현황'!B5:B16)</f>
        <v>13401426</v>
      </c>
      <c r="G7" s="21" t="s">
        <v>55</v>
      </c>
    </row>
    <row r="8">
      <c r="A8" s="22" t="s">
        <v>57</v>
      </c>
      <c r="B8" s="24">
        <f>B7-B6</f>
        <v>4666232</v>
      </c>
      <c r="D8" s="22" t="s">
        <v>59</v>
      </c>
      <c r="E8" s="26">
        <f>SUM('연간현황'!C5:C16)</f>
        <v>0</v>
      </c>
      <c r="G8" s="21" t="s">
        <v>62</v>
      </c>
    </row>
    <row r="9">
      <c r="A9" s="22" t="s">
        <v>63</v>
      </c>
      <c r="B9" s="32">
        <f>IFERROR(B6/B7,0)</f>
        <v>0.3217686047</v>
      </c>
      <c r="D9" s="22" t="s">
        <v>66</v>
      </c>
      <c r="E9" s="26">
        <f>SUM('연간현황'!D5:D16)</f>
        <v>21358159</v>
      </c>
    </row>
    <row r="10">
      <c r="A10" s="22" t="s">
        <v>17</v>
      </c>
      <c r="B10" s="24">
        <f t="array" ref="B10">IF($B$4&lt;=1,"",INDEX('총자산'!$B$36:$M$36,1,$B$4-1)-INDEX('총자산'!$B$36:$M$36,1,$B$4))</f>
        <v>0</v>
      </c>
      <c r="G10" s="33" t="s">
        <v>2</v>
      </c>
      <c r="H10" s="33" t="s">
        <v>16</v>
      </c>
      <c r="I10" s="33" t="s">
        <v>10</v>
      </c>
      <c r="J10" s="33" t="s">
        <v>17</v>
      </c>
      <c r="K10" s="33" t="s">
        <v>73</v>
      </c>
    </row>
    <row r="11">
      <c r="A11" s="22" t="s">
        <v>73</v>
      </c>
      <c r="B11" s="24">
        <f t="array" ref="B11">INDEX('총자산'!$B$38:$M$38,1,$B$4)</f>
        <v>0</v>
      </c>
      <c r="G11" s="8" t="s">
        <v>12</v>
      </c>
      <c r="H11" s="13">
        <f>'연간현황'!B5</f>
        <v>0</v>
      </c>
      <c r="I11" s="13">
        <f>'연간현황'!H5</f>
        <v>0</v>
      </c>
      <c r="J11" s="13" t="str">
        <f>'연간현황'!C5</f>
        <v/>
      </c>
      <c r="K11" s="13">
        <f>'총자산'!B38</f>
        <v>0</v>
      </c>
    </row>
    <row r="12">
      <c r="G12" s="8" t="s">
        <v>24</v>
      </c>
      <c r="H12" s="13">
        <f>'연간현황'!B6</f>
        <v>0</v>
      </c>
      <c r="I12" s="13">
        <f>'연간현황'!H6</f>
        <v>0</v>
      </c>
      <c r="J12" s="13">
        <f>'연간현황'!C6</f>
        <v>0</v>
      </c>
      <c r="K12" s="13">
        <f>'총자산'!C38</f>
        <v>0</v>
      </c>
    </row>
    <row r="13">
      <c r="G13" s="8" t="s">
        <v>27</v>
      </c>
      <c r="H13" s="13">
        <f>'연간현황'!B7</f>
        <v>0</v>
      </c>
      <c r="I13" s="13">
        <f>'연간현황'!H7</f>
        <v>0</v>
      </c>
      <c r="J13" s="13">
        <f>'연간현황'!C7</f>
        <v>0</v>
      </c>
      <c r="K13" s="13">
        <f>'총자산'!D38</f>
        <v>0</v>
      </c>
    </row>
    <row r="14">
      <c r="G14" s="8" t="s">
        <v>30</v>
      </c>
      <c r="H14" s="13">
        <f>'연간현황'!B8</f>
        <v>0</v>
      </c>
      <c r="I14" s="13">
        <f>'연간현황'!H8</f>
        <v>0</v>
      </c>
      <c r="J14" s="13">
        <f>'연간현황'!C8</f>
        <v>0</v>
      </c>
      <c r="K14" s="13">
        <f>'총자산'!E38</f>
        <v>0</v>
      </c>
    </row>
    <row r="15">
      <c r="G15" s="8" t="s">
        <v>31</v>
      </c>
      <c r="H15" s="13">
        <f>'연간현황'!B9</f>
        <v>5285894</v>
      </c>
      <c r="I15" s="13">
        <f>'연간현황'!H9</f>
        <v>15427579</v>
      </c>
      <c r="J15" s="13">
        <f>'연간현황'!C9</f>
        <v>0</v>
      </c>
      <c r="K15" s="13">
        <f>'총자산'!F38</f>
        <v>806149475</v>
      </c>
    </row>
    <row r="16">
      <c r="G16" s="8" t="s">
        <v>37</v>
      </c>
      <c r="H16" s="13">
        <f>'연간현황'!B10</f>
        <v>5901764</v>
      </c>
      <c r="I16" s="13">
        <f>'연간현황'!H10</f>
        <v>16521044</v>
      </c>
      <c r="J16" s="13">
        <f>'연간현황'!C10</f>
        <v>0</v>
      </c>
      <c r="K16" s="13">
        <f>'총자산'!G38</f>
        <v>818765242</v>
      </c>
    </row>
    <row r="17">
      <c r="G17" s="8" t="s">
        <v>41</v>
      </c>
      <c r="H17" s="13">
        <f>'연간현황'!B11</f>
        <v>2213768</v>
      </c>
      <c r="I17" s="13">
        <f>'연간현황'!H11</f>
        <v>2810962</v>
      </c>
      <c r="J17" s="13">
        <f>'연간현황'!C11</f>
        <v>0</v>
      </c>
      <c r="K17" s="13">
        <f>'총자산'!H38</f>
        <v>0</v>
      </c>
    </row>
    <row r="18">
      <c r="G18" s="8" t="s">
        <v>43</v>
      </c>
      <c r="H18" s="13">
        <f>'연간현황'!B12</f>
        <v>0</v>
      </c>
      <c r="I18" s="13">
        <f>'연간현황'!H12</f>
        <v>0</v>
      </c>
      <c r="J18" s="13">
        <f>'연간현황'!C12</f>
        <v>0</v>
      </c>
      <c r="K18" s="13">
        <f>'총자산'!I38</f>
        <v>0</v>
      </c>
    </row>
    <row r="19">
      <c r="G19" s="8" t="s">
        <v>44</v>
      </c>
      <c r="H19" s="13">
        <f>'연간현황'!B13</f>
        <v>0</v>
      </c>
      <c r="I19" s="13">
        <f>'연간현황'!H13</f>
        <v>0</v>
      </c>
      <c r="J19" s="13">
        <f>'연간현황'!C13</f>
        <v>0</v>
      </c>
      <c r="K19" s="13">
        <f>'총자산'!J38</f>
        <v>0</v>
      </c>
    </row>
    <row r="20">
      <c r="G20" s="8" t="s">
        <v>45</v>
      </c>
      <c r="H20" s="13">
        <f>'연간현황'!B14</f>
        <v>0</v>
      </c>
      <c r="I20" s="13">
        <f>'연간현황'!H14</f>
        <v>0</v>
      </c>
      <c r="J20" s="13">
        <f>'연간현황'!C14</f>
        <v>0</v>
      </c>
      <c r="K20" s="13">
        <f>'총자산'!K38</f>
        <v>0</v>
      </c>
    </row>
    <row r="21" ht="15.75" customHeight="1">
      <c r="G21" s="8" t="s">
        <v>46</v>
      </c>
      <c r="H21" s="13">
        <f>'연간현황'!B15</f>
        <v>0</v>
      </c>
      <c r="I21" s="13">
        <f>'연간현황'!H15</f>
        <v>0</v>
      </c>
      <c r="J21" s="13">
        <f>'연간현황'!C15</f>
        <v>0</v>
      </c>
      <c r="K21" s="13">
        <f>'총자산'!L38</f>
        <v>0</v>
      </c>
    </row>
    <row r="22" ht="15.75" customHeight="1">
      <c r="G22" s="8" t="s">
        <v>47</v>
      </c>
      <c r="H22" s="13">
        <f>'연간현황'!B16</f>
        <v>0</v>
      </c>
      <c r="I22" s="13">
        <f>'연간현황'!H16</f>
        <v>0</v>
      </c>
      <c r="J22" s="13">
        <f>'연간현황'!C16</f>
        <v>0</v>
      </c>
      <c r="K22" s="13">
        <f>'총자산'!M38</f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qref="B4">
      <formula1>1.0</formula1>
      <formula2>12.0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8" width="14.0"/>
    <col customWidth="1" min="9" max="9" width="8.14"/>
    <col customWidth="1" min="10" max="10" width="30.0"/>
    <col customWidth="1" min="11" max="26" width="8.71"/>
  </cols>
  <sheetData>
    <row r="1">
      <c r="A1" s="7" t="s">
        <v>13</v>
      </c>
    </row>
    <row r="2">
      <c r="A2" s="3" t="s">
        <v>14</v>
      </c>
    </row>
    <row r="3">
      <c r="A3" s="8" t="s">
        <v>15</v>
      </c>
      <c r="B3" s="9">
        <v>2026.0</v>
      </c>
      <c r="L3" s="10" t="s">
        <v>11</v>
      </c>
    </row>
    <row r="4">
      <c r="A4" s="11" t="s">
        <v>2</v>
      </c>
      <c r="B4" s="11" t="s">
        <v>16</v>
      </c>
      <c r="C4" s="11" t="s">
        <v>17</v>
      </c>
      <c r="D4" s="11" t="s">
        <v>18</v>
      </c>
      <c r="E4" s="11" t="s">
        <v>5</v>
      </c>
      <c r="F4" s="11" t="s">
        <v>8</v>
      </c>
      <c r="G4" s="11" t="s">
        <v>9</v>
      </c>
      <c r="H4" s="11" t="s">
        <v>10</v>
      </c>
      <c r="I4" s="11" t="s">
        <v>19</v>
      </c>
      <c r="J4" s="11" t="s">
        <v>20</v>
      </c>
      <c r="L4" s="12" t="s">
        <v>21</v>
      </c>
    </row>
    <row r="5">
      <c r="A5" s="8" t="s">
        <v>12</v>
      </c>
      <c r="B5" s="13">
        <f>'01월'!C22</f>
        <v>0</v>
      </c>
      <c r="C5" s="13" t="s">
        <v>22</v>
      </c>
      <c r="D5" s="13">
        <f t="shared" ref="D5:D16" si="1">H5-B5-IF(C5="",0,C5)</f>
        <v>0</v>
      </c>
      <c r="E5" s="13">
        <f>'수입관리'!D5</f>
        <v>0</v>
      </c>
      <c r="F5" s="13">
        <f>'수입관리'!G5</f>
        <v>0</v>
      </c>
      <c r="G5" s="13">
        <f>'수입관리'!H5</f>
        <v>0</v>
      </c>
      <c r="H5" s="13">
        <f>'수입관리'!I5</f>
        <v>0</v>
      </c>
      <c r="I5" s="14">
        <f>IFERROR(B5/CHOOSE(1,'01월'!B22,'02월'!B22,'03월'!B22,'04월'!B22,'05월'!B22,'06월'!B22,'07월'!B23,'08월'!B23,'09월'!B23,'10월'!B23,'11월'!B23,'12월'!B23),0)</f>
        <v>0</v>
      </c>
      <c r="L5" s="12" t="s">
        <v>25</v>
      </c>
    </row>
    <row r="6">
      <c r="A6" s="8" t="s">
        <v>24</v>
      </c>
      <c r="B6" s="13">
        <f>'02월'!C22</f>
        <v>0</v>
      </c>
      <c r="C6" s="13">
        <f>'총자산'!B36-'총자산'!C36</f>
        <v>0</v>
      </c>
      <c r="D6" s="13">
        <f t="shared" si="1"/>
        <v>0</v>
      </c>
      <c r="E6" s="13">
        <f>'수입관리'!D6</f>
        <v>0</v>
      </c>
      <c r="F6" s="13">
        <f>'수입관리'!G6</f>
        <v>0</v>
      </c>
      <c r="G6" s="13">
        <f>'수입관리'!H6</f>
        <v>0</v>
      </c>
      <c r="H6" s="13">
        <f>'수입관리'!I6</f>
        <v>0</v>
      </c>
      <c r="I6" s="14">
        <f>IFERROR(B6/CHOOSE(2,'01월'!B22,'02월'!B22,'03월'!B22,'04월'!B22,'05월'!B22,'06월'!B22,'07월'!B23,'08월'!B23,'09월'!B23,'10월'!B23,'11월'!B23,'12월'!B23),0)</f>
        <v>0</v>
      </c>
      <c r="L6" s="12" t="s">
        <v>26</v>
      </c>
    </row>
    <row r="7">
      <c r="A7" s="8" t="s">
        <v>27</v>
      </c>
      <c r="B7" s="13">
        <f>'03월'!C22</f>
        <v>0</v>
      </c>
      <c r="C7" s="13">
        <f>'총자산'!C36-'총자산'!D36</f>
        <v>0</v>
      </c>
      <c r="D7" s="13">
        <f t="shared" si="1"/>
        <v>0</v>
      </c>
      <c r="E7" s="13">
        <f>'수입관리'!D7</f>
        <v>0</v>
      </c>
      <c r="F7" s="13">
        <f>'수입관리'!G7</f>
        <v>0</v>
      </c>
      <c r="G7" s="13">
        <f>'수입관리'!H7</f>
        <v>0</v>
      </c>
      <c r="H7" s="13">
        <f>'수입관리'!I7</f>
        <v>0</v>
      </c>
      <c r="I7" s="14">
        <f>IFERROR(B7/CHOOSE(3,'01월'!B22,'02월'!B22,'03월'!B22,'04월'!B22,'05월'!B22,'06월'!B22,'07월'!B23,'08월'!B23,'09월'!B23,'10월'!B23,'11월'!B23,'12월'!B23),0)</f>
        <v>0</v>
      </c>
      <c r="L7" s="12" t="s">
        <v>29</v>
      </c>
    </row>
    <row r="8">
      <c r="A8" s="8" t="s">
        <v>30</v>
      </c>
      <c r="B8" s="13">
        <f>'04월'!C22</f>
        <v>0</v>
      </c>
      <c r="C8" s="13">
        <f>'총자산'!D36-'총자산'!E36</f>
        <v>0</v>
      </c>
      <c r="D8" s="13">
        <f t="shared" si="1"/>
        <v>0</v>
      </c>
      <c r="E8" s="13">
        <f>'수입관리'!D8</f>
        <v>0</v>
      </c>
      <c r="F8" s="13">
        <f>'수입관리'!G8</f>
        <v>0</v>
      </c>
      <c r="G8" s="13">
        <f>'수입관리'!H8</f>
        <v>0</v>
      </c>
      <c r="H8" s="13">
        <f>'수입관리'!I8</f>
        <v>0</v>
      </c>
      <c r="I8" s="14">
        <f>IFERROR(B8/CHOOSE(4,'01월'!B22,'02월'!B22,'03월'!B22,'04월'!B22,'05월'!B22,'06월'!B22,'07월'!B23,'08월'!B23,'09월'!B23,'10월'!B23,'11월'!B23,'12월'!B23),0)</f>
        <v>0</v>
      </c>
    </row>
    <row r="9">
      <c r="A9" s="8" t="s">
        <v>31</v>
      </c>
      <c r="B9" s="13">
        <f>'05월'!C22</f>
        <v>5285894</v>
      </c>
      <c r="C9" s="13">
        <f>'총자산'!E36-'총자산'!F36</f>
        <v>0</v>
      </c>
      <c r="D9" s="13">
        <f t="shared" si="1"/>
        <v>10141685</v>
      </c>
      <c r="E9" s="13">
        <f>'수입관리'!D9</f>
        <v>9697711</v>
      </c>
      <c r="F9" s="13">
        <f>'수입관리'!G9</f>
        <v>5359916</v>
      </c>
      <c r="G9" s="13">
        <f>'수입관리'!H9</f>
        <v>369952</v>
      </c>
      <c r="H9" s="13">
        <f>'수입관리'!I9</f>
        <v>15427579</v>
      </c>
      <c r="I9" s="14">
        <f>IFERROR(B9/CHOOSE(5,'01월'!B22,'02월'!B22,'03월'!B22,'04월'!B22,'05월'!B22,'06월'!B22,'07월'!B23,'08월'!B23,'09월'!B23,'10월'!B23,'11월'!B23,'12월'!B23),0)</f>
        <v>0.761656196</v>
      </c>
    </row>
    <row r="10">
      <c r="A10" s="8" t="s">
        <v>37</v>
      </c>
      <c r="B10" s="13">
        <f>'06월'!C22</f>
        <v>5901764</v>
      </c>
      <c r="C10" s="13">
        <f>'총자산'!F36-'총자산'!G36</f>
        <v>0</v>
      </c>
      <c r="D10" s="13">
        <f t="shared" si="1"/>
        <v>10619280</v>
      </c>
      <c r="E10" s="13">
        <f>'수입관리'!D10</f>
        <v>7652000</v>
      </c>
      <c r="F10" s="13">
        <f>'수입관리'!G10</f>
        <v>8158923</v>
      </c>
      <c r="G10" s="13">
        <f>'수입관리'!H10</f>
        <v>710121</v>
      </c>
      <c r="H10" s="13">
        <f>'수입관리'!I10</f>
        <v>16521044</v>
      </c>
      <c r="I10" s="14">
        <f>IFERROR(B10/CHOOSE(6,'01월'!B22,'02월'!B22,'03월'!B22,'04월'!B22,'05월'!B22,'06월'!B22,'07월'!B23,'08월'!B23,'09월'!B23,'10월'!B23,'11월'!B23,'12월'!B23),0)</f>
        <v>0.8704666667</v>
      </c>
    </row>
    <row r="11">
      <c r="A11" s="8" t="s">
        <v>41</v>
      </c>
      <c r="B11" s="13">
        <f>'07월'!C23</f>
        <v>2213768</v>
      </c>
      <c r="C11" s="13">
        <f>'총자산'!G36-'총자산'!H36</f>
        <v>0</v>
      </c>
      <c r="D11" s="13">
        <f t="shared" si="1"/>
        <v>597194</v>
      </c>
      <c r="E11" s="13">
        <f>'수입관리'!D11</f>
        <v>0</v>
      </c>
      <c r="F11" s="13">
        <f>'수입관리'!G11</f>
        <v>2200000</v>
      </c>
      <c r="G11" s="13">
        <f>'수입관리'!H11</f>
        <v>610962</v>
      </c>
      <c r="H11" s="13">
        <f>'수입관리'!I11</f>
        <v>2810962</v>
      </c>
      <c r="I11" s="14">
        <f>IFERROR(B11/CHOOSE(7,'01월'!B22,'02월'!B22,'03월'!B22,'04월'!B22,'05월'!B22,'06월'!B22,'07월'!B23,'08월'!B23,'09월'!B23,'10월'!B23,'11월'!B23,'12월'!B23),0)</f>
        <v>0.3217686047</v>
      </c>
    </row>
    <row r="12">
      <c r="A12" s="8" t="s">
        <v>43</v>
      </c>
      <c r="B12" s="13">
        <f>'08월'!C23</f>
        <v>0</v>
      </c>
      <c r="C12" s="13">
        <f>'총자산'!H36-'총자산'!I36</f>
        <v>0</v>
      </c>
      <c r="D12" s="13">
        <f t="shared" si="1"/>
        <v>0</v>
      </c>
      <c r="E12" s="13">
        <f>'수입관리'!D12</f>
        <v>0</v>
      </c>
      <c r="F12" s="13">
        <f>'수입관리'!G12</f>
        <v>0</v>
      </c>
      <c r="G12" s="13">
        <f>'수입관리'!H12</f>
        <v>0</v>
      </c>
      <c r="H12" s="13">
        <f>'수입관리'!I12</f>
        <v>0</v>
      </c>
      <c r="I12" s="14">
        <f>IFERROR(B12/CHOOSE(8,'01월'!B22,'02월'!B22,'03월'!B22,'04월'!B22,'05월'!B22,'06월'!B22,'07월'!B23,'08월'!B23,'09월'!B23,'10월'!B23,'11월'!B23,'12월'!B23),0)</f>
        <v>0</v>
      </c>
    </row>
    <row r="13">
      <c r="A13" s="8" t="s">
        <v>44</v>
      </c>
      <c r="B13" s="13">
        <f>'09월'!C23</f>
        <v>0</v>
      </c>
      <c r="C13" s="13">
        <f>'총자산'!I36-'총자산'!J36</f>
        <v>0</v>
      </c>
      <c r="D13" s="13">
        <f t="shared" si="1"/>
        <v>0</v>
      </c>
      <c r="E13" s="13">
        <f>'수입관리'!D13</f>
        <v>0</v>
      </c>
      <c r="F13" s="13">
        <f>'수입관리'!G13</f>
        <v>0</v>
      </c>
      <c r="G13" s="13">
        <f>'수입관리'!H13</f>
        <v>0</v>
      </c>
      <c r="H13" s="13">
        <f>'수입관리'!I13</f>
        <v>0</v>
      </c>
      <c r="I13" s="14">
        <f>IFERROR(B13/CHOOSE(9,'01월'!B22,'02월'!B22,'03월'!B22,'04월'!B22,'05월'!B22,'06월'!B22,'07월'!B23,'08월'!B23,'09월'!B23,'10월'!B23,'11월'!B23,'12월'!B23),0)</f>
        <v>0</v>
      </c>
    </row>
    <row r="14">
      <c r="A14" s="8" t="s">
        <v>45</v>
      </c>
      <c r="B14" s="13">
        <f>'10월'!C23</f>
        <v>0</v>
      </c>
      <c r="C14" s="13">
        <f>'총자산'!J36-'총자산'!K36</f>
        <v>0</v>
      </c>
      <c r="D14" s="13">
        <f t="shared" si="1"/>
        <v>0</v>
      </c>
      <c r="E14" s="13">
        <f>'수입관리'!D14</f>
        <v>0</v>
      </c>
      <c r="F14" s="13">
        <f>'수입관리'!G14</f>
        <v>0</v>
      </c>
      <c r="G14" s="13">
        <f>'수입관리'!H14</f>
        <v>0</v>
      </c>
      <c r="H14" s="13">
        <f>'수입관리'!I14</f>
        <v>0</v>
      </c>
      <c r="I14" s="14">
        <f>IFERROR(B14/CHOOSE(10,'01월'!B22,'02월'!B22,'03월'!B22,'04월'!B22,'05월'!B22,'06월'!B22,'07월'!B23,'08월'!B23,'09월'!B23,'10월'!B23,'11월'!B23,'12월'!B23),0)</f>
        <v>0</v>
      </c>
    </row>
    <row r="15">
      <c r="A15" s="8" t="s">
        <v>46</v>
      </c>
      <c r="B15" s="13">
        <f>'11월'!C23</f>
        <v>0</v>
      </c>
      <c r="C15" s="13">
        <f>'총자산'!K36-'총자산'!L36</f>
        <v>0</v>
      </c>
      <c r="D15" s="13">
        <f t="shared" si="1"/>
        <v>0</v>
      </c>
      <c r="E15" s="13">
        <f>'수입관리'!D15</f>
        <v>0</v>
      </c>
      <c r="F15" s="13">
        <f>'수입관리'!G15</f>
        <v>0</v>
      </c>
      <c r="G15" s="13">
        <f>'수입관리'!H15</f>
        <v>0</v>
      </c>
      <c r="H15" s="13">
        <f>'수입관리'!I15</f>
        <v>0</v>
      </c>
      <c r="I15" s="14">
        <f>IFERROR(B15/CHOOSE(11,'01월'!B22,'02월'!B22,'03월'!B22,'04월'!B22,'05월'!B22,'06월'!B22,'07월'!B23,'08월'!B23,'09월'!B23,'10월'!B23,'11월'!B23,'12월'!B23),0)</f>
        <v>0</v>
      </c>
    </row>
    <row r="16">
      <c r="A16" s="8" t="s">
        <v>47</v>
      </c>
      <c r="B16" s="13">
        <f>'12월'!C23</f>
        <v>0</v>
      </c>
      <c r="C16" s="13">
        <f>'총자산'!L36-'총자산'!M36</f>
        <v>0</v>
      </c>
      <c r="D16" s="13">
        <f t="shared" si="1"/>
        <v>0</v>
      </c>
      <c r="E16" s="13">
        <f>'수입관리'!D16</f>
        <v>0</v>
      </c>
      <c r="F16" s="13">
        <f>'수입관리'!G16</f>
        <v>0</v>
      </c>
      <c r="G16" s="13">
        <f>'수입관리'!H16</f>
        <v>0</v>
      </c>
      <c r="H16" s="13">
        <f>'수입관리'!I16</f>
        <v>0</v>
      </c>
      <c r="I16" s="14">
        <f>IFERROR(B16/CHOOSE(12,'01월'!B22,'02월'!B22,'03월'!B22,'04월'!B22,'05월'!B22,'06월'!B22,'07월'!B23,'08월'!B23,'09월'!B23,'10월'!B23,'11월'!B23,'12월'!B23),0)</f>
        <v>0</v>
      </c>
    </row>
    <row r="17">
      <c r="A17" s="36" t="s">
        <v>84</v>
      </c>
      <c r="B17" s="37">
        <f t="shared" ref="B17:H17" si="2">SUM(B5:B16)</f>
        <v>13401426</v>
      </c>
      <c r="C17" s="37">
        <f t="shared" si="2"/>
        <v>0</v>
      </c>
      <c r="D17" s="37">
        <f t="shared" si="2"/>
        <v>21358159</v>
      </c>
      <c r="E17" s="38">
        <f t="shared" si="2"/>
        <v>17349711</v>
      </c>
      <c r="F17" s="38">
        <f t="shared" si="2"/>
        <v>15718839</v>
      </c>
      <c r="G17" s="38">
        <f t="shared" si="2"/>
        <v>1691035</v>
      </c>
      <c r="H17" s="38">
        <f t="shared" si="2"/>
        <v>34759585</v>
      </c>
      <c r="I17" s="39">
        <f>AVERAGE(I5:I16)</f>
        <v>0.1628242889</v>
      </c>
      <c r="J17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13" width="14.0"/>
    <col customWidth="1" min="14" max="14" width="4.0"/>
    <col customWidth="1" min="15" max="15" width="55.0"/>
    <col customWidth="1" min="16" max="26" width="8.71"/>
  </cols>
  <sheetData>
    <row r="1">
      <c r="A1" s="15" t="s">
        <v>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>
      <c r="A2" s="20" t="s">
        <v>38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>
      <c r="A4" s="23" t="s">
        <v>40</v>
      </c>
      <c r="B4" s="23" t="s">
        <v>12</v>
      </c>
      <c r="C4" s="23" t="s">
        <v>24</v>
      </c>
      <c r="D4" s="23" t="s">
        <v>27</v>
      </c>
      <c r="E4" s="23" t="s">
        <v>30</v>
      </c>
      <c r="F4" s="23" t="s">
        <v>31</v>
      </c>
      <c r="G4" s="23" t="s">
        <v>37</v>
      </c>
      <c r="H4" s="23" t="s">
        <v>41</v>
      </c>
      <c r="I4" s="23" t="s">
        <v>43</v>
      </c>
      <c r="J4" s="23" t="s">
        <v>44</v>
      </c>
      <c r="K4" s="23" t="s">
        <v>45</v>
      </c>
      <c r="L4" s="23" t="s">
        <v>46</v>
      </c>
      <c r="M4" s="23" t="s">
        <v>47</v>
      </c>
      <c r="N4" s="16"/>
      <c r="O4" s="25" t="s">
        <v>11</v>
      </c>
    </row>
    <row r="5">
      <c r="A5" s="27" t="s">
        <v>48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16"/>
      <c r="O5" s="28" t="s">
        <v>52</v>
      </c>
    </row>
    <row r="6">
      <c r="A6" s="29" t="s">
        <v>53</v>
      </c>
      <c r="B6" s="30"/>
      <c r="C6" s="30"/>
      <c r="D6" s="30"/>
      <c r="E6" s="30"/>
      <c r="F6" s="31">
        <v>0.0</v>
      </c>
      <c r="G6" s="31">
        <v>0.0</v>
      </c>
      <c r="H6" s="30"/>
      <c r="I6" s="30"/>
      <c r="J6" s="30"/>
      <c r="K6" s="30"/>
      <c r="L6" s="30"/>
      <c r="M6" s="30"/>
      <c r="N6" s="16"/>
      <c r="O6" s="28" t="s">
        <v>56</v>
      </c>
    </row>
    <row r="7">
      <c r="A7" s="29" t="s">
        <v>58</v>
      </c>
      <c r="B7" s="30"/>
      <c r="C7" s="30"/>
      <c r="D7" s="30"/>
      <c r="E7" s="30"/>
      <c r="F7" s="31">
        <v>4900.0</v>
      </c>
      <c r="G7" s="31">
        <v>83127.0</v>
      </c>
      <c r="H7" s="30"/>
      <c r="I7" s="30"/>
      <c r="J7" s="30"/>
      <c r="K7" s="30"/>
      <c r="L7" s="30"/>
      <c r="M7" s="30"/>
      <c r="N7" s="16"/>
      <c r="O7" s="28" t="s">
        <v>60</v>
      </c>
    </row>
    <row r="8">
      <c r="A8" s="29" t="s">
        <v>61</v>
      </c>
      <c r="B8" s="30"/>
      <c r="C8" s="30"/>
      <c r="D8" s="30"/>
      <c r="E8" s="30"/>
      <c r="F8" s="31">
        <v>18906.0</v>
      </c>
      <c r="G8" s="31">
        <v>66454.0</v>
      </c>
      <c r="H8" s="30"/>
      <c r="I8" s="30"/>
      <c r="J8" s="30"/>
      <c r="K8" s="30"/>
      <c r="L8" s="30"/>
      <c r="M8" s="30"/>
      <c r="N8" s="16"/>
      <c r="O8" s="28" t="s">
        <v>64</v>
      </c>
    </row>
    <row r="9">
      <c r="A9" s="29" t="s">
        <v>65</v>
      </c>
      <c r="B9" s="30"/>
      <c r="C9" s="30"/>
      <c r="D9" s="30"/>
      <c r="E9" s="30"/>
      <c r="F9" s="31">
        <v>0.0</v>
      </c>
      <c r="G9" s="31">
        <v>90176.0</v>
      </c>
      <c r="H9" s="30"/>
      <c r="I9" s="30"/>
      <c r="J9" s="30"/>
      <c r="K9" s="30"/>
      <c r="L9" s="30"/>
      <c r="M9" s="30"/>
      <c r="N9" s="16"/>
      <c r="O9" s="28" t="s">
        <v>67</v>
      </c>
    </row>
    <row r="10">
      <c r="A10" s="29" t="s">
        <v>68</v>
      </c>
      <c r="B10" s="30"/>
      <c r="C10" s="30"/>
      <c r="D10" s="30"/>
      <c r="E10" s="30"/>
      <c r="F10" s="31">
        <v>402572.0</v>
      </c>
      <c r="G10" s="31">
        <v>244382.0</v>
      </c>
      <c r="H10" s="30"/>
      <c r="I10" s="30"/>
      <c r="J10" s="30"/>
      <c r="K10" s="30"/>
      <c r="L10" s="30"/>
      <c r="M10" s="30"/>
      <c r="N10" s="16"/>
      <c r="O10" s="16"/>
    </row>
    <row r="11">
      <c r="A11" s="29" t="s">
        <v>69</v>
      </c>
      <c r="B11" s="30"/>
      <c r="C11" s="30"/>
      <c r="D11" s="30"/>
      <c r="E11" s="30"/>
      <c r="F11" s="31">
        <v>100000.0</v>
      </c>
      <c r="G11" s="31">
        <v>100000.0</v>
      </c>
      <c r="H11" s="30"/>
      <c r="I11" s="30"/>
      <c r="J11" s="30"/>
      <c r="K11" s="30"/>
      <c r="L11" s="30"/>
      <c r="M11" s="30"/>
      <c r="N11" s="16"/>
      <c r="O11" s="16"/>
    </row>
    <row r="12">
      <c r="A12" s="29" t="s">
        <v>70</v>
      </c>
      <c r="B12" s="30"/>
      <c r="C12" s="30"/>
      <c r="D12" s="30"/>
      <c r="E12" s="30"/>
      <c r="F12" s="31">
        <v>33862.0</v>
      </c>
      <c r="G12" s="31">
        <v>23766.0</v>
      </c>
      <c r="H12" s="30"/>
      <c r="I12" s="30"/>
      <c r="J12" s="30"/>
      <c r="K12" s="30"/>
      <c r="L12" s="30"/>
      <c r="M12" s="30"/>
      <c r="N12" s="16"/>
      <c r="O12" s="16"/>
    </row>
    <row r="13">
      <c r="A13" s="29" t="s">
        <v>71</v>
      </c>
      <c r="B13" s="30"/>
      <c r="C13" s="30"/>
      <c r="D13" s="30"/>
      <c r="E13" s="30"/>
      <c r="F13" s="31">
        <v>5.2909713E7</v>
      </c>
      <c r="G13" s="31">
        <v>3.6493386E7</v>
      </c>
      <c r="H13" s="30"/>
      <c r="I13" s="30"/>
      <c r="J13" s="30"/>
      <c r="K13" s="30"/>
      <c r="L13" s="30"/>
      <c r="M13" s="30"/>
      <c r="N13" s="16"/>
      <c r="O13" s="16"/>
    </row>
    <row r="14">
      <c r="A14" s="29" t="s">
        <v>74</v>
      </c>
      <c r="B14" s="30"/>
      <c r="C14" s="30"/>
      <c r="D14" s="30"/>
      <c r="E14" s="30"/>
      <c r="F14" s="31">
        <v>1843037.0</v>
      </c>
      <c r="G14" s="31">
        <v>1843037.0</v>
      </c>
      <c r="H14" s="30"/>
      <c r="I14" s="30"/>
      <c r="J14" s="30"/>
      <c r="K14" s="30"/>
      <c r="L14" s="30"/>
      <c r="M14" s="30"/>
      <c r="N14" s="16"/>
      <c r="O14" s="16"/>
    </row>
    <row r="15">
      <c r="A15" s="29" t="s">
        <v>75</v>
      </c>
      <c r="B15" s="30"/>
      <c r="C15" s="30"/>
      <c r="D15" s="30"/>
      <c r="E15" s="30"/>
      <c r="F15" s="31">
        <v>1200000.0</v>
      </c>
      <c r="G15" s="31">
        <v>0.0</v>
      </c>
      <c r="H15" s="30"/>
      <c r="I15" s="30"/>
      <c r="J15" s="30"/>
      <c r="K15" s="30"/>
      <c r="L15" s="30"/>
      <c r="M15" s="30"/>
      <c r="N15" s="16"/>
      <c r="O15" s="16"/>
    </row>
    <row r="16">
      <c r="A16" s="29" t="s">
        <v>76</v>
      </c>
      <c r="B16" s="30"/>
      <c r="C16" s="30"/>
      <c r="D16" s="30"/>
      <c r="E16" s="30"/>
      <c r="F16" s="31">
        <v>1000000.0</v>
      </c>
      <c r="G16" s="31">
        <v>1200000.0</v>
      </c>
      <c r="H16" s="30"/>
      <c r="I16" s="30"/>
      <c r="J16" s="30"/>
      <c r="K16" s="30"/>
      <c r="L16" s="30"/>
      <c r="M16" s="30"/>
      <c r="N16" s="16"/>
      <c r="O16" s="16"/>
    </row>
    <row r="17">
      <c r="A17" s="29" t="s">
        <v>77</v>
      </c>
      <c r="B17" s="30"/>
      <c r="C17" s="30"/>
      <c r="D17" s="30"/>
      <c r="E17" s="30"/>
      <c r="F17" s="31">
        <v>1.65E7</v>
      </c>
      <c r="G17" s="31">
        <v>1.652E7</v>
      </c>
      <c r="H17" s="30"/>
      <c r="I17" s="30"/>
      <c r="J17" s="30"/>
      <c r="K17" s="30"/>
      <c r="L17" s="30"/>
      <c r="M17" s="30"/>
      <c r="N17" s="16"/>
      <c r="O17" s="16"/>
    </row>
    <row r="18">
      <c r="A18" s="29" t="s">
        <v>78</v>
      </c>
      <c r="B18" s="30"/>
      <c r="C18" s="30"/>
      <c r="D18" s="30"/>
      <c r="E18" s="30"/>
      <c r="F18" s="31">
        <v>9600000.0</v>
      </c>
      <c r="G18" s="31">
        <v>9620000.0</v>
      </c>
      <c r="H18" s="30"/>
      <c r="I18" s="30"/>
      <c r="J18" s="30"/>
      <c r="K18" s="30"/>
      <c r="L18" s="30"/>
      <c r="M18" s="30"/>
      <c r="N18" s="16"/>
      <c r="O18" s="16"/>
    </row>
    <row r="19">
      <c r="A19" s="29" t="s">
        <v>79</v>
      </c>
      <c r="B19" s="30"/>
      <c r="C19" s="30"/>
      <c r="D19" s="30"/>
      <c r="E19" s="30"/>
      <c r="F19" s="31">
        <v>1500000.0</v>
      </c>
      <c r="G19" s="31">
        <v>1500000.0</v>
      </c>
      <c r="H19" s="30"/>
      <c r="I19" s="30"/>
      <c r="J19" s="30"/>
      <c r="K19" s="30"/>
      <c r="L19" s="30"/>
      <c r="M19" s="30"/>
      <c r="N19" s="16"/>
      <c r="O19" s="16"/>
    </row>
    <row r="20" ht="15.75" customHeight="1">
      <c r="A20" s="27" t="s">
        <v>80</v>
      </c>
      <c r="B20" s="34">
        <f t="shared" ref="B20:M20" si="1">SUM(B6:B19)</f>
        <v>0</v>
      </c>
      <c r="C20" s="34">
        <f t="shared" si="1"/>
        <v>0</v>
      </c>
      <c r="D20" s="34">
        <f t="shared" si="1"/>
        <v>0</v>
      </c>
      <c r="E20" s="34">
        <f t="shared" si="1"/>
        <v>0</v>
      </c>
      <c r="F20" s="34">
        <f t="shared" si="1"/>
        <v>85112990</v>
      </c>
      <c r="G20" s="34">
        <f t="shared" si="1"/>
        <v>67784328</v>
      </c>
      <c r="H20" s="34">
        <f t="shared" si="1"/>
        <v>0</v>
      </c>
      <c r="I20" s="34">
        <f t="shared" si="1"/>
        <v>0</v>
      </c>
      <c r="J20" s="34">
        <f t="shared" si="1"/>
        <v>0</v>
      </c>
      <c r="K20" s="34">
        <f t="shared" si="1"/>
        <v>0</v>
      </c>
      <c r="L20" s="34">
        <f t="shared" si="1"/>
        <v>0</v>
      </c>
      <c r="M20" s="34">
        <f t="shared" si="1"/>
        <v>0</v>
      </c>
      <c r="N20" s="16"/>
      <c r="O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ht="15.75" customHeight="1">
      <c r="A22" s="35" t="s">
        <v>81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16"/>
      <c r="O22" s="16"/>
    </row>
    <row r="23" ht="15.75" customHeight="1">
      <c r="A23" s="29" t="s">
        <v>82</v>
      </c>
      <c r="B23" s="30"/>
      <c r="C23" s="30"/>
      <c r="D23" s="30"/>
      <c r="E23" s="30"/>
      <c r="F23" s="31">
        <v>1553072.0</v>
      </c>
      <c r="G23" s="31">
        <v>1556891.0</v>
      </c>
      <c r="H23" s="30"/>
      <c r="I23" s="30"/>
      <c r="J23" s="30"/>
      <c r="K23" s="30"/>
      <c r="L23" s="30"/>
      <c r="M23" s="30"/>
      <c r="N23" s="16"/>
      <c r="O23" s="16"/>
    </row>
    <row r="24" ht="15.75" customHeight="1">
      <c r="A24" s="29" t="s">
        <v>83</v>
      </c>
      <c r="B24" s="30"/>
      <c r="C24" s="30"/>
      <c r="D24" s="30"/>
      <c r="E24" s="30"/>
      <c r="F24" s="31">
        <v>2228257.0</v>
      </c>
      <c r="G24" s="31">
        <v>2263753.0</v>
      </c>
      <c r="H24" s="30"/>
      <c r="I24" s="30"/>
      <c r="J24" s="30"/>
      <c r="K24" s="30"/>
      <c r="L24" s="30"/>
      <c r="M24" s="30"/>
      <c r="N24" s="16"/>
      <c r="O24" s="16"/>
    </row>
    <row r="25" ht="15.75" customHeight="1">
      <c r="A25" s="29" t="s">
        <v>85</v>
      </c>
      <c r="B25" s="30"/>
      <c r="C25" s="30"/>
      <c r="D25" s="30"/>
      <c r="E25" s="30"/>
      <c r="F25" s="31">
        <v>1689552.0</v>
      </c>
      <c r="G25" s="31">
        <v>1400848.0</v>
      </c>
      <c r="H25" s="30"/>
      <c r="I25" s="30"/>
      <c r="J25" s="30"/>
      <c r="K25" s="30"/>
      <c r="L25" s="30"/>
      <c r="M25" s="30"/>
      <c r="N25" s="16"/>
      <c r="O25" s="16"/>
    </row>
    <row r="26" ht="15.75" customHeight="1">
      <c r="A26" s="29" t="s">
        <v>86</v>
      </c>
      <c r="B26" s="30"/>
      <c r="C26" s="30"/>
      <c r="D26" s="30"/>
      <c r="E26" s="30"/>
      <c r="F26" s="31">
        <v>1.0104034E7</v>
      </c>
      <c r="G26" s="31">
        <v>9859550.0</v>
      </c>
      <c r="H26" s="30"/>
      <c r="I26" s="30"/>
      <c r="J26" s="30"/>
      <c r="K26" s="30"/>
      <c r="L26" s="30"/>
      <c r="M26" s="30"/>
      <c r="N26" s="16"/>
      <c r="O26" s="16"/>
    </row>
    <row r="27" ht="15.75" customHeight="1">
      <c r="A27" s="29" t="s">
        <v>87</v>
      </c>
      <c r="B27" s="30"/>
      <c r="C27" s="30"/>
      <c r="D27" s="30"/>
      <c r="E27" s="30"/>
      <c r="F27" s="31">
        <v>189308.0</v>
      </c>
      <c r="G27" s="31">
        <v>158673.0</v>
      </c>
      <c r="H27" s="30"/>
      <c r="I27" s="30"/>
      <c r="J27" s="30"/>
      <c r="K27" s="30"/>
      <c r="L27" s="30"/>
      <c r="M27" s="30"/>
      <c r="N27" s="16"/>
      <c r="O27" s="16"/>
    </row>
    <row r="28" ht="15.75" customHeight="1">
      <c r="A28" s="29" t="s">
        <v>88</v>
      </c>
      <c r="B28" s="30"/>
      <c r="C28" s="30"/>
      <c r="D28" s="30"/>
      <c r="E28" s="30"/>
      <c r="F28" s="31">
        <v>2.8962461E7</v>
      </c>
      <c r="G28" s="31">
        <v>2.8747516E7</v>
      </c>
      <c r="H28" s="30"/>
      <c r="I28" s="30"/>
      <c r="J28" s="30"/>
      <c r="K28" s="30"/>
      <c r="L28" s="30"/>
      <c r="M28" s="30"/>
      <c r="N28" s="16"/>
      <c r="O28" s="16"/>
    </row>
    <row r="29" ht="15.75" customHeight="1">
      <c r="A29" s="29" t="s">
        <v>89</v>
      </c>
      <c r="B29" s="30"/>
      <c r="C29" s="30"/>
      <c r="D29" s="30"/>
      <c r="E29" s="30"/>
      <c r="F29" s="31">
        <v>2.0E7</v>
      </c>
      <c r="G29" s="31">
        <v>2.0E7</v>
      </c>
      <c r="H29" s="30"/>
      <c r="I29" s="30"/>
      <c r="J29" s="30"/>
      <c r="K29" s="30"/>
      <c r="L29" s="30"/>
      <c r="M29" s="30"/>
      <c r="N29" s="16"/>
      <c r="O29" s="16"/>
    </row>
    <row r="30" ht="15.75" customHeight="1">
      <c r="A30" s="41" t="s">
        <v>90</v>
      </c>
      <c r="B30" s="30"/>
      <c r="C30" s="30"/>
      <c r="D30" s="30"/>
      <c r="E30" s="30"/>
      <c r="F30" s="31">
        <v>9.219E8</v>
      </c>
      <c r="G30" s="31">
        <v>9.519E8</v>
      </c>
      <c r="H30" s="31"/>
      <c r="I30" s="31"/>
      <c r="J30" s="31"/>
      <c r="K30" s="31"/>
      <c r="L30" s="31"/>
      <c r="M30" s="31"/>
      <c r="N30" s="16"/>
      <c r="O30" s="16"/>
    </row>
    <row r="31" ht="15.75" customHeight="1">
      <c r="A31" s="42" t="s">
        <v>91</v>
      </c>
      <c r="B31" s="43">
        <f t="shared" ref="B31:M31" si="2">SUM(B23:B30)</f>
        <v>0</v>
      </c>
      <c r="C31" s="43">
        <f t="shared" si="2"/>
        <v>0</v>
      </c>
      <c r="D31" s="43">
        <f t="shared" si="2"/>
        <v>0</v>
      </c>
      <c r="E31" s="43">
        <f t="shared" si="2"/>
        <v>0</v>
      </c>
      <c r="F31" s="43">
        <f t="shared" si="2"/>
        <v>986626684</v>
      </c>
      <c r="G31" s="43">
        <f t="shared" si="2"/>
        <v>1015887231</v>
      </c>
      <c r="H31" s="43">
        <f t="shared" si="2"/>
        <v>0</v>
      </c>
      <c r="I31" s="43">
        <f t="shared" si="2"/>
        <v>0</v>
      </c>
      <c r="J31" s="43">
        <f t="shared" si="2"/>
        <v>0</v>
      </c>
      <c r="K31" s="43">
        <f t="shared" si="2"/>
        <v>0</v>
      </c>
      <c r="L31" s="43">
        <f t="shared" si="2"/>
        <v>0</v>
      </c>
      <c r="M31" s="43">
        <f t="shared" si="2"/>
        <v>0</v>
      </c>
      <c r="N31" s="16"/>
      <c r="O31" s="16"/>
    </row>
    <row r="32" ht="15.75" customHeight="1">
      <c r="A32" s="35" t="s">
        <v>92</v>
      </c>
      <c r="B32" s="44">
        <f t="shared" ref="B32:M32" si="3">B20+B31</f>
        <v>0</v>
      </c>
      <c r="C32" s="44">
        <f t="shared" si="3"/>
        <v>0</v>
      </c>
      <c r="D32" s="44">
        <f t="shared" si="3"/>
        <v>0</v>
      </c>
      <c r="E32" s="44">
        <f t="shared" si="3"/>
        <v>0</v>
      </c>
      <c r="F32" s="44">
        <f t="shared" si="3"/>
        <v>1071739674</v>
      </c>
      <c r="G32" s="44">
        <f t="shared" si="3"/>
        <v>1083671559</v>
      </c>
      <c r="H32" s="44">
        <f t="shared" si="3"/>
        <v>0</v>
      </c>
      <c r="I32" s="44">
        <f t="shared" si="3"/>
        <v>0</v>
      </c>
      <c r="J32" s="44">
        <f t="shared" si="3"/>
        <v>0</v>
      </c>
      <c r="K32" s="44">
        <f t="shared" si="3"/>
        <v>0</v>
      </c>
      <c r="L32" s="44">
        <f t="shared" si="3"/>
        <v>0</v>
      </c>
      <c r="M32" s="44">
        <f t="shared" si="3"/>
        <v>0</v>
      </c>
      <c r="N32" s="16"/>
      <c r="O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ht="15.75" customHeight="1">
      <c r="A34" s="45" t="s">
        <v>93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16"/>
      <c r="O34" s="16"/>
    </row>
    <row r="35" ht="15.75" customHeight="1">
      <c r="A35" s="41" t="s">
        <v>94</v>
      </c>
      <c r="B35" s="30"/>
      <c r="C35" s="30"/>
      <c r="D35" s="30"/>
      <c r="E35" s="30"/>
      <c r="F35" s="31">
        <v>2.65590199E8</v>
      </c>
      <c r="G35" s="31">
        <v>2.64906317E8</v>
      </c>
      <c r="H35" s="30"/>
      <c r="I35" s="30"/>
      <c r="J35" s="30"/>
      <c r="K35" s="30"/>
      <c r="L35" s="30"/>
      <c r="M35" s="30"/>
      <c r="N35" s="16"/>
      <c r="O35" s="16"/>
    </row>
    <row r="36" ht="15.75" customHeight="1">
      <c r="A36" s="41" t="s">
        <v>95</v>
      </c>
      <c r="B36" s="30"/>
      <c r="C36" s="30"/>
      <c r="D36" s="30"/>
      <c r="E36" s="30"/>
      <c r="F36" s="31">
        <v>0.0</v>
      </c>
      <c r="G36" s="31">
        <v>0.0</v>
      </c>
      <c r="H36" s="30"/>
      <c r="I36" s="30"/>
      <c r="J36" s="30"/>
      <c r="K36" s="30"/>
      <c r="L36" s="30"/>
      <c r="M36" s="30"/>
      <c r="N36" s="16"/>
      <c r="O36" s="16"/>
    </row>
    <row r="37" ht="15.75" customHeight="1">
      <c r="A37" s="45" t="s">
        <v>96</v>
      </c>
      <c r="B37" s="46">
        <f t="shared" ref="B37:M37" si="4">SUM(B35:B36)</f>
        <v>0</v>
      </c>
      <c r="C37" s="46">
        <f t="shared" si="4"/>
        <v>0</v>
      </c>
      <c r="D37" s="46">
        <f t="shared" si="4"/>
        <v>0</v>
      </c>
      <c r="E37" s="46">
        <f t="shared" si="4"/>
        <v>0</v>
      </c>
      <c r="F37" s="46">
        <f t="shared" si="4"/>
        <v>265590199</v>
      </c>
      <c r="G37" s="46">
        <f t="shared" si="4"/>
        <v>264906317</v>
      </c>
      <c r="H37" s="46">
        <f t="shared" si="4"/>
        <v>0</v>
      </c>
      <c r="I37" s="46">
        <f t="shared" si="4"/>
        <v>0</v>
      </c>
      <c r="J37" s="46">
        <f t="shared" si="4"/>
        <v>0</v>
      </c>
      <c r="K37" s="46">
        <f t="shared" si="4"/>
        <v>0</v>
      </c>
      <c r="L37" s="46">
        <f t="shared" si="4"/>
        <v>0</v>
      </c>
      <c r="M37" s="46">
        <f t="shared" si="4"/>
        <v>0</v>
      </c>
      <c r="N37" s="16"/>
      <c r="O37" s="16"/>
    </row>
    <row r="38" ht="15.75" customHeight="1">
      <c r="A38" s="47" t="s">
        <v>73</v>
      </c>
      <c r="B38" s="48">
        <f t="shared" ref="B38:M38" si="5">B32-B37</f>
        <v>0</v>
      </c>
      <c r="C38" s="48">
        <f t="shared" si="5"/>
        <v>0</v>
      </c>
      <c r="D38" s="48">
        <f t="shared" si="5"/>
        <v>0</v>
      </c>
      <c r="E38" s="48">
        <f t="shared" si="5"/>
        <v>0</v>
      </c>
      <c r="F38" s="48">
        <f t="shared" si="5"/>
        <v>806149475</v>
      </c>
      <c r="G38" s="48">
        <f t="shared" si="5"/>
        <v>818765242</v>
      </c>
      <c r="H38" s="48">
        <f t="shared" si="5"/>
        <v>0</v>
      </c>
      <c r="I38" s="48">
        <f t="shared" si="5"/>
        <v>0</v>
      </c>
      <c r="J38" s="48">
        <f t="shared" si="5"/>
        <v>0</v>
      </c>
      <c r="K38" s="48">
        <f t="shared" si="5"/>
        <v>0</v>
      </c>
      <c r="L38" s="48">
        <f t="shared" si="5"/>
        <v>0</v>
      </c>
      <c r="M38" s="48">
        <f t="shared" si="5"/>
        <v>0</v>
      </c>
      <c r="N38" s="16"/>
      <c r="O38" s="16"/>
    </row>
    <row r="39" ht="15.75" customHeight="1">
      <c r="A39" s="49" t="s">
        <v>100</v>
      </c>
      <c r="B39" s="51">
        <f t="shared" ref="B39:M39" si="6">IFERROR(SUM(B23:B29)/B32,0)</f>
        <v>0</v>
      </c>
      <c r="C39" s="51">
        <f t="shared" si="6"/>
        <v>0</v>
      </c>
      <c r="D39" s="51">
        <f t="shared" si="6"/>
        <v>0</v>
      </c>
      <c r="E39" s="51">
        <f t="shared" si="6"/>
        <v>0</v>
      </c>
      <c r="F39" s="51">
        <f t="shared" si="6"/>
        <v>0.06039403558</v>
      </c>
      <c r="G39" s="51">
        <f t="shared" si="6"/>
        <v>0.05904670144</v>
      </c>
      <c r="H39" s="51">
        <f t="shared" si="6"/>
        <v>0</v>
      </c>
      <c r="I39" s="51">
        <f t="shared" si="6"/>
        <v>0</v>
      </c>
      <c r="J39" s="51">
        <f t="shared" si="6"/>
        <v>0</v>
      </c>
      <c r="K39" s="51">
        <f t="shared" si="6"/>
        <v>0</v>
      </c>
      <c r="L39" s="51">
        <f t="shared" si="6"/>
        <v>0</v>
      </c>
      <c r="M39" s="51">
        <f t="shared" si="6"/>
        <v>0</v>
      </c>
      <c r="N39" s="16"/>
      <c r="O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ht="15.75" customHeight="1">
      <c r="A43" s="57" t="s">
        <v>2</v>
      </c>
      <c r="B43" s="57" t="s">
        <v>92</v>
      </c>
      <c r="C43" s="57" t="s">
        <v>96</v>
      </c>
      <c r="D43" s="57" t="s">
        <v>73</v>
      </c>
      <c r="E43" s="57" t="s">
        <v>100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ht="15.75" customHeight="1">
      <c r="A44" s="16" t="s">
        <v>12</v>
      </c>
      <c r="B44" s="59">
        <f>B32</f>
        <v>0</v>
      </c>
      <c r="C44" s="59">
        <f>B37</f>
        <v>0</v>
      </c>
      <c r="D44" s="59">
        <f>B38</f>
        <v>0</v>
      </c>
      <c r="E44" s="60">
        <f>B39</f>
        <v>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ht="15.75" customHeight="1">
      <c r="A45" s="16" t="s">
        <v>24</v>
      </c>
      <c r="B45" s="59">
        <f>C32</f>
        <v>0</v>
      </c>
      <c r="C45" s="59">
        <f>C37</f>
        <v>0</v>
      </c>
      <c r="D45" s="59">
        <f>C38</f>
        <v>0</v>
      </c>
      <c r="E45" s="60">
        <f>C39</f>
        <v>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</row>
    <row r="46" ht="15.75" customHeight="1">
      <c r="A46" s="16" t="s">
        <v>27</v>
      </c>
      <c r="B46" s="59">
        <f>D32</f>
        <v>0</v>
      </c>
      <c r="C46" s="59">
        <f>D37</f>
        <v>0</v>
      </c>
      <c r="D46" s="59">
        <f>D38</f>
        <v>0</v>
      </c>
      <c r="E46" s="60">
        <f>D39</f>
        <v>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ht="15.75" customHeight="1">
      <c r="A47" s="16" t="s">
        <v>30</v>
      </c>
      <c r="B47" s="59">
        <f>E32</f>
        <v>0</v>
      </c>
      <c r="C47" s="59">
        <f>E37</f>
        <v>0</v>
      </c>
      <c r="D47" s="59">
        <f>E38</f>
        <v>0</v>
      </c>
      <c r="E47" s="60">
        <f>E39</f>
        <v>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ht="15.75" customHeight="1">
      <c r="A48" s="16" t="s">
        <v>31</v>
      </c>
      <c r="B48" s="59">
        <f>F32</f>
        <v>1071739674</v>
      </c>
      <c r="C48" s="59">
        <f>F37</f>
        <v>265590199</v>
      </c>
      <c r="D48" s="59">
        <f>F38</f>
        <v>806149475</v>
      </c>
      <c r="E48" s="60">
        <f>F39</f>
        <v>0.06039403558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ht="15.75" customHeight="1">
      <c r="A49" s="16" t="s">
        <v>37</v>
      </c>
      <c r="B49" s="59">
        <f>G32</f>
        <v>1083671559</v>
      </c>
      <c r="C49" s="59">
        <f>G37</f>
        <v>264906317</v>
      </c>
      <c r="D49" s="59">
        <f>G38</f>
        <v>818765242</v>
      </c>
      <c r="E49" s="60">
        <f>G39</f>
        <v>0.05904670144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ht="15.75" customHeight="1">
      <c r="A50" s="16" t="s">
        <v>41</v>
      </c>
      <c r="B50" s="59">
        <f>H32</f>
        <v>0</v>
      </c>
      <c r="C50" s="59">
        <f>H37</f>
        <v>0</v>
      </c>
      <c r="D50" s="59">
        <f>H38</f>
        <v>0</v>
      </c>
      <c r="E50" s="60">
        <f>H39</f>
        <v>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ht="15.75" customHeight="1">
      <c r="A51" s="16" t="s">
        <v>43</v>
      </c>
      <c r="B51" s="59">
        <f>I32</f>
        <v>0</v>
      </c>
      <c r="C51" s="59">
        <f>I37</f>
        <v>0</v>
      </c>
      <c r="D51" s="59">
        <f>I38</f>
        <v>0</v>
      </c>
      <c r="E51" s="60">
        <f>I39</f>
        <v>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ht="15.75" customHeight="1">
      <c r="A52" s="16" t="s">
        <v>44</v>
      </c>
      <c r="B52" s="59">
        <f>J32</f>
        <v>0</v>
      </c>
      <c r="C52" s="59">
        <f>J37</f>
        <v>0</v>
      </c>
      <c r="D52" s="59">
        <f>J38</f>
        <v>0</v>
      </c>
      <c r="E52" s="60">
        <f>J39</f>
        <v>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ht="15.75" customHeight="1">
      <c r="A53" s="16" t="s">
        <v>45</v>
      </c>
      <c r="B53" s="59">
        <f>K32</f>
        <v>0</v>
      </c>
      <c r="C53" s="59">
        <f>K37</f>
        <v>0</v>
      </c>
      <c r="D53" s="59">
        <f>K38</f>
        <v>0</v>
      </c>
      <c r="E53" s="60">
        <f>K39</f>
        <v>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ht="15.75" customHeight="1">
      <c r="A54" s="16" t="s">
        <v>46</v>
      </c>
      <c r="B54" s="59">
        <f>L32</f>
        <v>0</v>
      </c>
      <c r="C54" s="59">
        <f>L37</f>
        <v>0</v>
      </c>
      <c r="D54" s="59">
        <f>L38</f>
        <v>0</v>
      </c>
      <c r="E54" s="60">
        <f>L39</f>
        <v>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ht="15.75" customHeight="1">
      <c r="A55" s="16" t="s">
        <v>47</v>
      </c>
      <c r="B55" s="59">
        <f>M32</f>
        <v>0</v>
      </c>
      <c r="C55" s="59">
        <f>M37</f>
        <v>0</v>
      </c>
      <c r="D55" s="59">
        <f>M38</f>
        <v>0</v>
      </c>
      <c r="E55" s="60">
        <f>M39</f>
        <v>0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7.43"/>
    <col customWidth="1" min="2" max="2" width="7.86"/>
    <col customWidth="1" min="3" max="4" width="10.29"/>
    <col customWidth="1" min="5" max="7" width="7.86"/>
    <col customWidth="1" min="8" max="8" width="10.29"/>
    <col customWidth="1" min="9" max="9" width="9.86"/>
    <col customWidth="1" min="10" max="10" width="8.71"/>
    <col customWidth="1" min="11" max="11" width="67.71"/>
    <col customWidth="1" min="12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K4" s="5" t="s">
        <v>11</v>
      </c>
    </row>
    <row r="5">
      <c r="A5" s="6" t="s">
        <v>12</v>
      </c>
      <c r="B5" s="6">
        <f>IFERROR(SUMIFS('내역'!$E:$E,'내역'!$B:$B,"수입",'내역'!$C:$C,B$4,'내역'!$A:$A,"&gt;="&amp;DATE('연간현황'!$B$3,1,1),'내역'!$A:$A,"&lt;="&amp;EOMONTH(DATE('연간현황'!$B$3,1,1),0)),0)</f>
        <v>0</v>
      </c>
      <c r="C5" s="6">
        <f>IFERROR(SUMIFS('내역'!$E:$E,'내역'!$B:$B,"수입",'내역'!$C:$C,C$4,'내역'!$A:$A,"&gt;="&amp;DATE('연간현황'!$B$3,1,1),'내역'!$A:$A,"&lt;="&amp;EOMONTH(DATE('연간현황'!$B$3,1,1),0)),0)</f>
        <v>0</v>
      </c>
      <c r="D5" s="6">
        <f t="shared" ref="D5:D16" si="1">SUM(B5:C5)</f>
        <v>0</v>
      </c>
      <c r="E5" s="6">
        <f>IFERROR(SUMIFS('내역'!$E:$E,'내역'!$B:$B,"수입",'내역'!$C:$C,E$4,'내역'!$A:$A,"&gt;="&amp;DATE('연간현황'!$B$3,1,1),'내역'!$A:$A,"&lt;="&amp;EOMONTH(DATE('연간현황'!$B$3,1,1),0)),0)</f>
        <v>0</v>
      </c>
      <c r="F5" s="6">
        <f>IFERROR(SUMIFS('내역'!$E:$E,'내역'!$B:$B,"수입",'내역'!$C:$C,F$4,'내역'!$A:$A,"&gt;="&amp;DATE('연간현황'!$B$3,1,1),'내역'!$A:$A,"&lt;="&amp;EOMONTH(DATE('연간현황'!$B$3,1,1),0)),0)</f>
        <v>0</v>
      </c>
      <c r="G5" s="6">
        <f t="shared" ref="G5:G16" si="2">SUM(E5:F5)</f>
        <v>0</v>
      </c>
      <c r="H5" s="6">
        <f>IFERROR(SUMIFS('내역'!$E:$E,'내역'!$B:$B,"수입",'내역'!$C:$C,H$4,'내역'!$A:$A,"&gt;="&amp;DATE('연간현황'!$B$3,1,1),'내역'!$A:$A,"&lt;="&amp;EOMONTH(DATE('연간현황'!$B$3,1,1),0)),0)</f>
        <v>0</v>
      </c>
      <c r="I5" s="6">
        <f t="shared" ref="I5:I16" si="3">SUM(D5,G5,H5)</f>
        <v>0</v>
      </c>
      <c r="K5" s="5" t="s">
        <v>23</v>
      </c>
    </row>
    <row r="6">
      <c r="A6" s="6" t="s">
        <v>24</v>
      </c>
      <c r="B6" s="6">
        <f>IFERROR(SUMIFS('내역'!$E:$E,'내역'!$B:$B,"수입",'내역'!$C:$C,B$4,'내역'!$A:$A,"&gt;="&amp;DATE('연간현황'!$B$3,2,1),'내역'!$A:$A,"&lt;="&amp;EOMONTH(DATE('연간현황'!$B$3,2,1),0)),0)</f>
        <v>0</v>
      </c>
      <c r="C6" s="6">
        <f>IFERROR(SUMIFS('내역'!$E:$E,'내역'!$B:$B,"수입",'내역'!$C:$C,C$4,'내역'!$A:$A,"&gt;="&amp;DATE('연간현황'!$B$3,2,1),'내역'!$A:$A,"&lt;="&amp;EOMONTH(DATE('연간현황'!$B$3,2,1),0)),0)</f>
        <v>0</v>
      </c>
      <c r="D6" s="6">
        <f t="shared" si="1"/>
        <v>0</v>
      </c>
      <c r="E6" s="6">
        <f>IFERROR(SUMIFS('내역'!$E:$E,'내역'!$B:$B,"수입",'내역'!$C:$C,E$4,'내역'!$A:$A,"&gt;="&amp;DATE('연간현황'!$B$3,2,1),'내역'!$A:$A,"&lt;="&amp;EOMONTH(DATE('연간현황'!$B$3,2,1),0)),0)</f>
        <v>0</v>
      </c>
      <c r="F6" s="6">
        <f>IFERROR(SUMIFS('내역'!$E:$E,'내역'!$B:$B,"수입",'내역'!$C:$C,F$4,'내역'!$A:$A,"&gt;="&amp;DATE('연간현황'!$B$3,2,1),'내역'!$A:$A,"&lt;="&amp;EOMONTH(DATE('연간현황'!$B$3,2,1),0)),0)</f>
        <v>0</v>
      </c>
      <c r="G6" s="6">
        <f t="shared" si="2"/>
        <v>0</v>
      </c>
      <c r="H6" s="6">
        <f>IFERROR(SUMIFS('내역'!$E:$E,'내역'!$B:$B,"수입",'내역'!$C:$C,H$4,'내역'!$A:$A,"&gt;="&amp;DATE('연간현황'!$B$3,2,1),'내역'!$A:$A,"&lt;="&amp;EOMONTH(DATE('연간현황'!$B$3,2,1),0)),0)</f>
        <v>0</v>
      </c>
      <c r="I6" s="6">
        <f t="shared" si="3"/>
        <v>0</v>
      </c>
      <c r="K6" s="5" t="s">
        <v>28</v>
      </c>
    </row>
    <row r="7">
      <c r="A7" s="6" t="s">
        <v>27</v>
      </c>
      <c r="B7" s="6">
        <f>IFERROR(SUMIFS('내역'!$E:$E,'내역'!$B:$B,"수입",'내역'!$C:$C,B$4,'내역'!$A:$A,"&gt;="&amp;DATE('연간현황'!$B$3,3,1),'내역'!$A:$A,"&lt;="&amp;EOMONTH(DATE('연간현황'!$B$3,3,1),0)),0)</f>
        <v>0</v>
      </c>
      <c r="C7" s="6">
        <f>IFERROR(SUMIFS('내역'!$E:$E,'내역'!$B:$B,"수입",'내역'!$C:$C,C$4,'내역'!$A:$A,"&gt;="&amp;DATE('연간현황'!$B$3,3,1),'내역'!$A:$A,"&lt;="&amp;EOMONTH(DATE('연간현황'!$B$3,3,1),0)),0)</f>
        <v>0</v>
      </c>
      <c r="D7" s="6">
        <f t="shared" si="1"/>
        <v>0</v>
      </c>
      <c r="E7" s="6">
        <f>IFERROR(SUMIFS('내역'!$E:$E,'내역'!$B:$B,"수입",'내역'!$C:$C,E$4,'내역'!$A:$A,"&gt;="&amp;DATE('연간현황'!$B$3,3,1),'내역'!$A:$A,"&lt;="&amp;EOMONTH(DATE('연간현황'!$B$3,3,1),0)),0)</f>
        <v>0</v>
      </c>
      <c r="F7" s="6">
        <f>IFERROR(SUMIFS('내역'!$E:$E,'내역'!$B:$B,"수입",'내역'!$C:$C,F$4,'내역'!$A:$A,"&gt;="&amp;DATE('연간현황'!$B$3,3,1),'내역'!$A:$A,"&lt;="&amp;EOMONTH(DATE('연간현황'!$B$3,3,1),0)),0)</f>
        <v>0</v>
      </c>
      <c r="G7" s="6">
        <f t="shared" si="2"/>
        <v>0</v>
      </c>
      <c r="H7" s="6">
        <f>IFERROR(SUMIFS('내역'!$E:$E,'내역'!$B:$B,"수입",'내역'!$C:$C,H$4,'내역'!$A:$A,"&gt;="&amp;DATE('연간현황'!$B$3,3,1),'내역'!$A:$A,"&lt;="&amp;EOMONTH(DATE('연간현황'!$B$3,3,1),0)),0)</f>
        <v>0</v>
      </c>
      <c r="I7" s="6">
        <f t="shared" si="3"/>
        <v>0</v>
      </c>
      <c r="K7" s="5" t="s">
        <v>34</v>
      </c>
    </row>
    <row r="8">
      <c r="A8" s="6" t="s">
        <v>30</v>
      </c>
      <c r="B8" s="6">
        <f>IFERROR(SUMIFS('내역'!$E:$E,'내역'!$B:$B,"수입",'내역'!$C:$C,B$4,'내역'!$A:$A,"&gt;="&amp;DATE('연간현황'!$B$3,4,1),'내역'!$A:$A,"&lt;="&amp;EOMONTH(DATE('연간현황'!$B$3,4,1),0)),0)</f>
        <v>0</v>
      </c>
      <c r="C8" s="6">
        <f>IFERROR(SUMIFS('내역'!$E:$E,'내역'!$B:$B,"수입",'내역'!$C:$C,C$4,'내역'!$A:$A,"&gt;="&amp;DATE('연간현황'!$B$3,4,1),'내역'!$A:$A,"&lt;="&amp;EOMONTH(DATE('연간현황'!$B$3,4,1),0)),0)</f>
        <v>0</v>
      </c>
      <c r="D8" s="6">
        <f t="shared" si="1"/>
        <v>0</v>
      </c>
      <c r="E8" s="6">
        <f>IFERROR(SUMIFS('내역'!$E:$E,'내역'!$B:$B,"수입",'내역'!$C:$C,E$4,'내역'!$A:$A,"&gt;="&amp;DATE('연간현황'!$B$3,4,1),'내역'!$A:$A,"&lt;="&amp;EOMONTH(DATE('연간현황'!$B$3,4,1),0)),0)</f>
        <v>0</v>
      </c>
      <c r="F8" s="6">
        <f>IFERROR(SUMIFS('내역'!$E:$E,'내역'!$B:$B,"수입",'내역'!$C:$C,F$4,'내역'!$A:$A,"&gt;="&amp;DATE('연간현황'!$B$3,4,1),'내역'!$A:$A,"&lt;="&amp;EOMONTH(DATE('연간현황'!$B$3,4,1),0)),0)</f>
        <v>0</v>
      </c>
      <c r="G8" s="6">
        <f t="shared" si="2"/>
        <v>0</v>
      </c>
      <c r="H8" s="6">
        <f>IFERROR(SUMIFS('내역'!$E:$E,'내역'!$B:$B,"수입",'내역'!$C:$C,H$4,'내역'!$A:$A,"&gt;="&amp;DATE('연간현황'!$B$3,4,1),'내역'!$A:$A,"&lt;="&amp;EOMONTH(DATE('연간현황'!$B$3,4,1),0)),0)</f>
        <v>0</v>
      </c>
      <c r="I8" s="6">
        <f t="shared" si="3"/>
        <v>0</v>
      </c>
      <c r="K8" s="5" t="s">
        <v>51</v>
      </c>
    </row>
    <row r="9">
      <c r="A9" s="6" t="s">
        <v>31</v>
      </c>
      <c r="B9" s="6">
        <f>IFERROR(SUMIFS('내역'!$E:$E,'내역'!$B:$B,"수입",'내역'!$C:$C,B$4,'내역'!$A:$A,"&gt;="&amp;DATE('연간현황'!$B$3,5,1),'내역'!$A:$A,"&lt;="&amp;EOMONTH(DATE('연간현황'!$B$3,5,1),0)),0)</f>
        <v>6078411</v>
      </c>
      <c r="C9" s="6">
        <f>IFERROR(SUMIFS('내역'!$E:$E,'내역'!$B:$B,"수입",'내역'!$C:$C,C$4,'내역'!$A:$A,"&gt;="&amp;DATE('연간현황'!$B$3,5,1),'내역'!$A:$A,"&lt;="&amp;EOMONTH(DATE('연간현황'!$B$3,5,1),0)),0)</f>
        <v>3619300</v>
      </c>
      <c r="D9" s="6">
        <f t="shared" si="1"/>
        <v>9697711</v>
      </c>
      <c r="E9" s="6">
        <f>IFERROR(SUMIFS('내역'!$E:$E,'내역'!$B:$B,"수입",'내역'!$C:$C,E$4,'내역'!$A:$A,"&gt;="&amp;DATE('연간현황'!$B$3,5,1),'내역'!$A:$A,"&lt;="&amp;EOMONTH(DATE('연간현황'!$B$3,5,1),0)),0)</f>
        <v>5359916</v>
      </c>
      <c r="F9" s="6">
        <f>IFERROR(SUMIFS('내역'!$E:$E,'내역'!$B:$B,"수입",'내역'!$C:$C,F$4,'내역'!$A:$A,"&gt;="&amp;DATE('연간현황'!$B$3,5,1),'내역'!$A:$A,"&lt;="&amp;EOMONTH(DATE('연간현황'!$B$3,5,1),0)),0)</f>
        <v>0</v>
      </c>
      <c r="G9" s="6">
        <f t="shared" si="2"/>
        <v>5359916</v>
      </c>
      <c r="H9" s="6">
        <f>IFERROR(SUMIFS('내역'!$E:$E,'내역'!$B:$B,"수입",'내역'!$C:$C,H$4,'내역'!$A:$A,"&gt;="&amp;DATE('연간현황'!$B$3,5,1),'내역'!$A:$A,"&lt;="&amp;EOMONTH(DATE('연간현황'!$B$3,5,1),0)),0)</f>
        <v>369952</v>
      </c>
      <c r="I9" s="6">
        <f t="shared" si="3"/>
        <v>15427579</v>
      </c>
      <c r="K9" s="5" t="s">
        <v>72</v>
      </c>
    </row>
    <row r="10">
      <c r="A10" s="6" t="s">
        <v>37</v>
      </c>
      <c r="B10" s="6">
        <f>IFERROR(SUMIFS('내역'!$E:$E,'내역'!$B:$B,"수입",'내역'!$C:$C,B$4,'내역'!$A:$A,"&gt;="&amp;DATE('연간현황'!$B$3,6,1),'내역'!$A:$A,"&lt;="&amp;EOMONTH(DATE('연간현황'!$B$3,6,1),0)),0)</f>
        <v>3984400</v>
      </c>
      <c r="C10" s="6">
        <f>IFERROR(SUMIFS('내역'!$E:$E,'내역'!$B:$B,"수입",'내역'!$C:$C,C$4,'내역'!$A:$A,"&gt;="&amp;DATE('연간현황'!$B$3,6,1),'내역'!$A:$A,"&lt;="&amp;EOMONTH(DATE('연간현황'!$B$3,6,1),0)),0)</f>
        <v>3667600</v>
      </c>
      <c r="D10" s="6">
        <f t="shared" si="1"/>
        <v>7652000</v>
      </c>
      <c r="E10" s="6">
        <f>IFERROR(SUMIFS('내역'!$E:$E,'내역'!$B:$B,"수입",'내역'!$C:$C,E$4,'내역'!$A:$A,"&gt;="&amp;DATE('연간현황'!$B$3,6,1),'내역'!$A:$A,"&lt;="&amp;EOMONTH(DATE('연간현황'!$B$3,6,1),0)),0)</f>
        <v>5628335</v>
      </c>
      <c r="F10" s="6">
        <f>IFERROR(SUMIFS('내역'!$E:$E,'내역'!$B:$B,"수입",'내역'!$C:$C,F$4,'내역'!$A:$A,"&gt;="&amp;DATE('연간현황'!$B$3,6,1),'내역'!$A:$A,"&lt;="&amp;EOMONTH(DATE('연간현황'!$B$3,6,1),0)),0)</f>
        <v>2530588</v>
      </c>
      <c r="G10" s="6">
        <f t="shared" si="2"/>
        <v>8158923</v>
      </c>
      <c r="H10" s="6">
        <f>IFERROR(SUMIFS('내역'!$E:$E,'내역'!$B:$B,"수입",'내역'!$C:$C,H$4,'내역'!$A:$A,"&gt;="&amp;DATE('연간현황'!$B$3,6,1),'내역'!$A:$A,"&lt;="&amp;EOMONTH(DATE('연간현황'!$B$3,6,1),0)),0)</f>
        <v>710121</v>
      </c>
      <c r="I10" s="6">
        <f t="shared" si="3"/>
        <v>16521044</v>
      </c>
    </row>
    <row r="11">
      <c r="A11" s="6" t="s">
        <v>41</v>
      </c>
      <c r="B11" s="6">
        <f>IFERROR(SUMIFS('내역'!$E:$E,'내역'!$B:$B,"수입",'내역'!$C:$C,B$4,'내역'!$A:$A,"&gt;="&amp;DATE('연간현황'!$B$3,7,1),'내역'!$A:$A,"&lt;="&amp;EOMONTH(DATE('연간현황'!$B$3,7,1),0)),0)</f>
        <v>0</v>
      </c>
      <c r="C11" s="6">
        <f>IFERROR(SUMIFS('내역'!$E:$E,'내역'!$B:$B,"수입",'내역'!$C:$C,C$4,'내역'!$A:$A,"&gt;="&amp;DATE('연간현황'!$B$3,7,1),'내역'!$A:$A,"&lt;="&amp;EOMONTH(DATE('연간현황'!$B$3,7,1),0)),0)</f>
        <v>0</v>
      </c>
      <c r="D11" s="6">
        <f t="shared" si="1"/>
        <v>0</v>
      </c>
      <c r="E11" s="6">
        <f>IFERROR(SUMIFS('내역'!$E:$E,'내역'!$B:$B,"수입",'내역'!$C:$C,E$4,'내역'!$A:$A,"&gt;="&amp;DATE('연간현황'!$B$3,7,1),'내역'!$A:$A,"&lt;="&amp;EOMONTH(DATE('연간현황'!$B$3,7,1),0)),0)</f>
        <v>2200000</v>
      </c>
      <c r="F11" s="6">
        <f>IFERROR(SUMIFS('내역'!$E:$E,'내역'!$B:$B,"수입",'내역'!$C:$C,F$4,'내역'!$A:$A,"&gt;="&amp;DATE('연간현황'!$B$3,7,1),'내역'!$A:$A,"&lt;="&amp;EOMONTH(DATE('연간현황'!$B$3,7,1),0)),0)</f>
        <v>0</v>
      </c>
      <c r="G11" s="6">
        <f t="shared" si="2"/>
        <v>2200000</v>
      </c>
      <c r="H11" s="6">
        <f>IFERROR(SUMIFS('내역'!$E:$E,'내역'!$B:$B,"수입",'내역'!$C:$C,H$4,'내역'!$A:$A,"&gt;="&amp;DATE('연간현황'!$B$3,7,1),'내역'!$A:$A,"&lt;="&amp;EOMONTH(DATE('연간현황'!$B$3,7,1),0)),0)</f>
        <v>610962</v>
      </c>
      <c r="I11" s="6">
        <f t="shared" si="3"/>
        <v>2810962</v>
      </c>
    </row>
    <row r="12">
      <c r="A12" s="6" t="s">
        <v>43</v>
      </c>
      <c r="B12" s="6">
        <f>IFERROR(SUMIFS('내역'!$E:$E,'내역'!$B:$B,"수입",'내역'!$C:$C,B$4,'내역'!$A:$A,"&gt;="&amp;DATE('연간현황'!$B$3,8,1),'내역'!$A:$A,"&lt;="&amp;EOMONTH(DATE('연간현황'!$B$3,8,1),0)),0)</f>
        <v>0</v>
      </c>
      <c r="C12" s="6">
        <f>IFERROR(SUMIFS('내역'!$E:$E,'내역'!$B:$B,"수입",'내역'!$C:$C,C$4,'내역'!$A:$A,"&gt;="&amp;DATE('연간현황'!$B$3,8,1),'내역'!$A:$A,"&lt;="&amp;EOMONTH(DATE('연간현황'!$B$3,8,1),0)),0)</f>
        <v>0</v>
      </c>
      <c r="D12" s="6">
        <f t="shared" si="1"/>
        <v>0</v>
      </c>
      <c r="E12" s="6">
        <f>IFERROR(SUMIFS('내역'!$E:$E,'내역'!$B:$B,"수입",'내역'!$C:$C,E$4,'내역'!$A:$A,"&gt;="&amp;DATE('연간현황'!$B$3,8,1),'내역'!$A:$A,"&lt;="&amp;EOMONTH(DATE('연간현황'!$B$3,8,1),0)),0)</f>
        <v>0</v>
      </c>
      <c r="F12" s="6">
        <f>IFERROR(SUMIFS('내역'!$E:$E,'내역'!$B:$B,"수입",'내역'!$C:$C,F$4,'내역'!$A:$A,"&gt;="&amp;DATE('연간현황'!$B$3,8,1),'내역'!$A:$A,"&lt;="&amp;EOMONTH(DATE('연간현황'!$B$3,8,1),0)),0)</f>
        <v>0</v>
      </c>
      <c r="G12" s="6">
        <f t="shared" si="2"/>
        <v>0</v>
      </c>
      <c r="H12" s="6">
        <f>IFERROR(SUMIFS('내역'!$E:$E,'내역'!$B:$B,"수입",'내역'!$C:$C,H$4,'내역'!$A:$A,"&gt;="&amp;DATE('연간현황'!$B$3,8,1),'내역'!$A:$A,"&lt;="&amp;EOMONTH(DATE('연간현황'!$B$3,8,1),0)),0)</f>
        <v>0</v>
      </c>
      <c r="I12" s="6">
        <f t="shared" si="3"/>
        <v>0</v>
      </c>
    </row>
    <row r="13">
      <c r="A13" s="6" t="s">
        <v>44</v>
      </c>
      <c r="B13" s="6">
        <f>IFERROR(SUMIFS('내역'!$E:$E,'내역'!$B:$B,"수입",'내역'!$C:$C,B$4,'내역'!$A:$A,"&gt;="&amp;DATE('연간현황'!$B$3,9,1),'내역'!$A:$A,"&lt;="&amp;EOMONTH(DATE('연간현황'!$B$3,9,1),0)),0)</f>
        <v>0</v>
      </c>
      <c r="C13" s="6">
        <f>IFERROR(SUMIFS('내역'!$E:$E,'내역'!$B:$B,"수입",'내역'!$C:$C,C$4,'내역'!$A:$A,"&gt;="&amp;DATE('연간현황'!$B$3,9,1),'내역'!$A:$A,"&lt;="&amp;EOMONTH(DATE('연간현황'!$B$3,9,1),0)),0)</f>
        <v>0</v>
      </c>
      <c r="D13" s="6">
        <f t="shared" si="1"/>
        <v>0</v>
      </c>
      <c r="E13" s="6">
        <f>IFERROR(SUMIFS('내역'!$E:$E,'내역'!$B:$B,"수입",'내역'!$C:$C,E$4,'내역'!$A:$A,"&gt;="&amp;DATE('연간현황'!$B$3,9,1),'내역'!$A:$A,"&lt;="&amp;EOMONTH(DATE('연간현황'!$B$3,9,1),0)),0)</f>
        <v>0</v>
      </c>
      <c r="F13" s="6">
        <f>IFERROR(SUMIFS('내역'!$E:$E,'내역'!$B:$B,"수입",'내역'!$C:$C,F$4,'내역'!$A:$A,"&gt;="&amp;DATE('연간현황'!$B$3,9,1),'내역'!$A:$A,"&lt;="&amp;EOMONTH(DATE('연간현황'!$B$3,9,1),0)),0)</f>
        <v>0</v>
      </c>
      <c r="G13" s="6">
        <f t="shared" si="2"/>
        <v>0</v>
      </c>
      <c r="H13" s="6">
        <f>IFERROR(SUMIFS('내역'!$E:$E,'내역'!$B:$B,"수입",'내역'!$C:$C,H$4,'내역'!$A:$A,"&gt;="&amp;DATE('연간현황'!$B$3,9,1),'내역'!$A:$A,"&lt;="&amp;EOMONTH(DATE('연간현황'!$B$3,9,1),0)),0)</f>
        <v>0</v>
      </c>
      <c r="I13" s="6">
        <f t="shared" si="3"/>
        <v>0</v>
      </c>
    </row>
    <row r="14">
      <c r="A14" s="6" t="s">
        <v>45</v>
      </c>
      <c r="B14" s="6">
        <f>IFERROR(SUMIFS('내역'!$E:$E,'내역'!$B:$B,"수입",'내역'!$C:$C,B$4,'내역'!$A:$A,"&gt;="&amp;DATE('연간현황'!$B$3,10,1),'내역'!$A:$A,"&lt;="&amp;EOMONTH(DATE('연간현황'!$B$3,10,1),0)),0)</f>
        <v>0</v>
      </c>
      <c r="C14" s="6">
        <f>IFERROR(SUMIFS('내역'!$E:$E,'내역'!$B:$B,"수입",'내역'!$C:$C,C$4,'내역'!$A:$A,"&gt;="&amp;DATE('연간현황'!$B$3,10,1),'내역'!$A:$A,"&lt;="&amp;EOMONTH(DATE('연간현황'!$B$3,10,1),0)),0)</f>
        <v>0</v>
      </c>
      <c r="D14" s="6">
        <f t="shared" si="1"/>
        <v>0</v>
      </c>
      <c r="E14" s="6">
        <f>IFERROR(SUMIFS('내역'!$E:$E,'내역'!$B:$B,"수입",'내역'!$C:$C,E$4,'내역'!$A:$A,"&gt;="&amp;DATE('연간현황'!$B$3,10,1),'내역'!$A:$A,"&lt;="&amp;EOMONTH(DATE('연간현황'!$B$3,10,1),0)),0)</f>
        <v>0</v>
      </c>
      <c r="F14" s="6">
        <f>IFERROR(SUMIFS('내역'!$E:$E,'내역'!$B:$B,"수입",'내역'!$C:$C,F$4,'내역'!$A:$A,"&gt;="&amp;DATE('연간현황'!$B$3,10,1),'내역'!$A:$A,"&lt;="&amp;EOMONTH(DATE('연간현황'!$B$3,10,1),0)),0)</f>
        <v>0</v>
      </c>
      <c r="G14" s="6">
        <f t="shared" si="2"/>
        <v>0</v>
      </c>
      <c r="H14" s="6">
        <f>IFERROR(SUMIFS('내역'!$E:$E,'내역'!$B:$B,"수입",'내역'!$C:$C,H$4,'내역'!$A:$A,"&gt;="&amp;DATE('연간현황'!$B$3,10,1),'내역'!$A:$A,"&lt;="&amp;EOMONTH(DATE('연간현황'!$B$3,10,1),0)),0)</f>
        <v>0</v>
      </c>
      <c r="I14" s="6">
        <f t="shared" si="3"/>
        <v>0</v>
      </c>
    </row>
    <row r="15">
      <c r="A15" s="6" t="s">
        <v>46</v>
      </c>
      <c r="B15" s="6">
        <f>IFERROR(SUMIFS('내역'!$E:$E,'내역'!$B:$B,"수입",'내역'!$C:$C,B$4,'내역'!$A:$A,"&gt;="&amp;DATE('연간현황'!$B$3,11,1),'내역'!$A:$A,"&lt;="&amp;EOMONTH(DATE('연간현황'!$B$3,11,1),0)),0)</f>
        <v>0</v>
      </c>
      <c r="C15" s="6">
        <f>IFERROR(SUMIFS('내역'!$E:$E,'내역'!$B:$B,"수입",'내역'!$C:$C,C$4,'내역'!$A:$A,"&gt;="&amp;DATE('연간현황'!$B$3,11,1),'내역'!$A:$A,"&lt;="&amp;EOMONTH(DATE('연간현황'!$B$3,11,1),0)),0)</f>
        <v>0</v>
      </c>
      <c r="D15" s="6">
        <f t="shared" si="1"/>
        <v>0</v>
      </c>
      <c r="E15" s="6">
        <f>IFERROR(SUMIFS('내역'!$E:$E,'내역'!$B:$B,"수입",'내역'!$C:$C,E$4,'내역'!$A:$A,"&gt;="&amp;DATE('연간현황'!$B$3,11,1),'내역'!$A:$A,"&lt;="&amp;EOMONTH(DATE('연간현황'!$B$3,11,1),0)),0)</f>
        <v>0</v>
      </c>
      <c r="F15" s="6">
        <f>IFERROR(SUMIFS('내역'!$E:$E,'내역'!$B:$B,"수입",'내역'!$C:$C,F$4,'내역'!$A:$A,"&gt;="&amp;DATE('연간현황'!$B$3,11,1),'내역'!$A:$A,"&lt;="&amp;EOMONTH(DATE('연간현황'!$B$3,11,1),0)),0)</f>
        <v>0</v>
      </c>
      <c r="G15" s="6">
        <f t="shared" si="2"/>
        <v>0</v>
      </c>
      <c r="H15" s="6">
        <f>IFERROR(SUMIFS('내역'!$E:$E,'내역'!$B:$B,"수입",'내역'!$C:$C,H$4,'내역'!$A:$A,"&gt;="&amp;DATE('연간현황'!$B$3,11,1),'내역'!$A:$A,"&lt;="&amp;EOMONTH(DATE('연간현황'!$B$3,11,1),0)),0)</f>
        <v>0</v>
      </c>
      <c r="I15" s="6">
        <f t="shared" si="3"/>
        <v>0</v>
      </c>
    </row>
    <row r="16">
      <c r="A16" s="6" t="s">
        <v>47</v>
      </c>
      <c r="B16" s="6">
        <f>IFERROR(SUMIFS('내역'!$E:$E,'내역'!$B:$B,"수입",'내역'!$C:$C,B$4,'내역'!$A:$A,"&gt;="&amp;DATE('연간현황'!$B$3,12,1),'내역'!$A:$A,"&lt;="&amp;EOMONTH(DATE('연간현황'!$B$3,12,1),0)),0)</f>
        <v>0</v>
      </c>
      <c r="C16" s="6">
        <f>IFERROR(SUMIFS('내역'!$E:$E,'내역'!$B:$B,"수입",'내역'!$C:$C,C$4,'내역'!$A:$A,"&gt;="&amp;DATE('연간현황'!$B$3,12,1),'내역'!$A:$A,"&lt;="&amp;EOMONTH(DATE('연간현황'!$B$3,12,1),0)),0)</f>
        <v>0</v>
      </c>
      <c r="D16" s="6">
        <f t="shared" si="1"/>
        <v>0</v>
      </c>
      <c r="E16" s="6">
        <f>IFERROR(SUMIFS('내역'!$E:$E,'내역'!$B:$B,"수입",'내역'!$C:$C,E$4,'내역'!$A:$A,"&gt;="&amp;DATE('연간현황'!$B$3,12,1),'내역'!$A:$A,"&lt;="&amp;EOMONTH(DATE('연간현황'!$B$3,12,1),0)),0)</f>
        <v>0</v>
      </c>
      <c r="F16" s="6">
        <f>IFERROR(SUMIFS('내역'!$E:$E,'내역'!$B:$B,"수입",'내역'!$C:$C,F$4,'내역'!$A:$A,"&gt;="&amp;DATE('연간현황'!$B$3,12,1),'내역'!$A:$A,"&lt;="&amp;EOMONTH(DATE('연간현황'!$B$3,12,1),0)),0)</f>
        <v>0</v>
      </c>
      <c r="G16" s="6">
        <f t="shared" si="2"/>
        <v>0</v>
      </c>
      <c r="H16" s="6">
        <f>IFERROR(SUMIFS('내역'!$E:$E,'내역'!$B:$B,"수입",'내역'!$C:$C,H$4,'내역'!$A:$A,"&gt;="&amp;DATE('연간현황'!$B$3,12,1),'내역'!$A:$A,"&lt;="&amp;EOMONTH(DATE('연간현황'!$B$3,12,1),0)),0)</f>
        <v>0</v>
      </c>
      <c r="I16" s="6">
        <f t="shared" si="3"/>
        <v>0</v>
      </c>
    </row>
    <row r="17">
      <c r="A17" s="63" t="s">
        <v>115</v>
      </c>
      <c r="B17" s="63">
        <f t="shared" ref="B17:I17" si="4">SUM(B5:B16)</f>
        <v>10062811</v>
      </c>
      <c r="C17" s="63">
        <f t="shared" si="4"/>
        <v>7286900</v>
      </c>
      <c r="D17" s="63">
        <f t="shared" si="4"/>
        <v>17349711</v>
      </c>
      <c r="E17" s="63">
        <f t="shared" si="4"/>
        <v>13188251</v>
      </c>
      <c r="F17" s="63">
        <f t="shared" si="4"/>
        <v>2530588</v>
      </c>
      <c r="G17" s="63">
        <f t="shared" si="4"/>
        <v>15718839</v>
      </c>
      <c r="H17" s="63">
        <f t="shared" si="4"/>
        <v>1691035</v>
      </c>
      <c r="I17" s="63">
        <f t="shared" si="4"/>
        <v>34759585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ADCC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4.0"/>
    <col customWidth="1" min="5" max="5" width="11.0"/>
    <col customWidth="1" min="6" max="6" width="10.0"/>
    <col customWidth="1" min="7" max="7" width="18.0"/>
    <col customWidth="1" min="8" max="8" width="3.0"/>
    <col customWidth="1" min="9" max="12" width="18.0"/>
    <col customWidth="1" min="13" max="26" width="8.71"/>
  </cols>
  <sheetData>
    <row r="1">
      <c r="A1" s="7" t="s">
        <v>97</v>
      </c>
    </row>
    <row r="2">
      <c r="A2" s="3" t="s">
        <v>98</v>
      </c>
    </row>
    <row r="4">
      <c r="A4" s="22" t="s">
        <v>99</v>
      </c>
      <c r="B4" s="24">
        <f>B22</f>
        <v>6940000</v>
      </c>
      <c r="C4" s="50" t="s">
        <v>102</v>
      </c>
      <c r="D4" s="24">
        <f>C22</f>
        <v>0</v>
      </c>
      <c r="E4" s="52" t="s">
        <v>103</v>
      </c>
      <c r="F4" s="53">
        <f>D22</f>
        <v>6940000</v>
      </c>
      <c r="G4" s="22" t="s">
        <v>104</v>
      </c>
      <c r="H4" s="54">
        <f>IFERROR(C22/B22,0)</f>
        <v>0</v>
      </c>
    </row>
    <row r="7">
      <c r="A7" s="55" t="s">
        <v>40</v>
      </c>
      <c r="B7" s="55" t="s">
        <v>105</v>
      </c>
      <c r="C7" s="55" t="s">
        <v>106</v>
      </c>
      <c r="D7" s="55" t="s">
        <v>107</v>
      </c>
      <c r="E7" s="55" t="s">
        <v>63</v>
      </c>
      <c r="F7" s="55" t="s">
        <v>108</v>
      </c>
      <c r="G7" s="55" t="s">
        <v>109</v>
      </c>
      <c r="I7" s="56" t="s">
        <v>110</v>
      </c>
    </row>
    <row r="8">
      <c r="A8" s="8" t="s">
        <v>111</v>
      </c>
      <c r="B8" s="13">
        <v>2900000.0</v>
      </c>
      <c r="C8" s="13">
        <f>IFERROR(ABS(SUMIFS('내역'!E:E,'내역'!C:C,"대출",'내역'!A:A,"&gt;="&amp;DATE('연간현황'!B3,1,1),'내역'!A:A,"&lt;="&amp;EOMONTH(DATE('연간현황'!B3,1,1),0))),0)</f>
        <v>0</v>
      </c>
      <c r="D8" s="13">
        <f t="shared" ref="D8:D21" si="1">B8-C8</f>
        <v>2900000</v>
      </c>
      <c r="E8" s="58">
        <f t="shared" ref="E8:E22" si="2">IFERROR(C8/B8,0)</f>
        <v>0</v>
      </c>
      <c r="F8" s="8" t="str">
        <f t="shared" ref="F8:F22" si="3">IF(E8&gt;=1,"초과",IF(E8&gt;=0.8,"주의","안정"))</f>
        <v>안정</v>
      </c>
      <c r="G8" s="8" t="str">
        <f t="shared" ref="G8:G22" si="4">REPT("█",ROUND(MIN(1,E8)*10,0))&amp;REPT("░",10-ROUND(MIN(1,E8)*10,0))</f>
        <v>░░░░░░░░░░</v>
      </c>
      <c r="I8" s="61" t="s">
        <v>112</v>
      </c>
      <c r="J8" s="61" t="s">
        <v>40</v>
      </c>
      <c r="K8" s="61" t="s">
        <v>63</v>
      </c>
      <c r="L8" s="61" t="s">
        <v>107</v>
      </c>
    </row>
    <row r="9">
      <c r="A9" s="8" t="s">
        <v>113</v>
      </c>
      <c r="B9" s="13">
        <v>550000.0</v>
      </c>
      <c r="C9" s="13">
        <f>IFERROR(ABS(SUMIFS('내역'!E:E,'내역'!C:C,"보험",'내역'!A:A,"&gt;="&amp;DATE('연간현황'!B3,1,1),'내역'!A:A,"&lt;="&amp;EOMONTH(DATE('연간현황'!B3,1,1),0))),0)</f>
        <v>0</v>
      </c>
      <c r="D9" s="13">
        <f t="shared" si="1"/>
        <v>550000</v>
      </c>
      <c r="E9" s="58">
        <f t="shared" si="2"/>
        <v>0</v>
      </c>
      <c r="F9" s="8" t="str">
        <f t="shared" si="3"/>
        <v>안정</v>
      </c>
      <c r="G9" s="8" t="str">
        <f t="shared" si="4"/>
        <v>░░░░░░░░░░</v>
      </c>
      <c r="I9" s="8">
        <v>1.0</v>
      </c>
      <c r="J9" s="8" t="str">
        <f t="array" ref="J9">INDEX($A$8:$A$21,MATCH(LARGE($E$8:$E$21,1),$E$8:$E$21,0))</f>
        <v>대출</v>
      </c>
      <c r="K9" s="14">
        <f>LARGE($E$8:$E$21,1)</f>
        <v>0</v>
      </c>
      <c r="L9" s="62">
        <f t="array" ref="L9">INDEX($D$8:$D$21,MATCH(LARGE($E$8:$E$21,1),$E$8:$E$21,0))</f>
        <v>2900000</v>
      </c>
    </row>
    <row r="10">
      <c r="A10" s="8" t="s">
        <v>114</v>
      </c>
      <c r="B10" s="13">
        <v>140000.0</v>
      </c>
      <c r="C10" s="13">
        <f>IFERROR(ABS(SUMIFS('내역'!E:E,'내역'!C:C,"통신비",'내역'!A:A,"&gt;="&amp;DATE('연간현황'!B3,1,1),'내역'!A:A,"&lt;="&amp;EOMONTH(DATE('연간현황'!B3,1,1),0))),0)</f>
        <v>0</v>
      </c>
      <c r="D10" s="13">
        <f t="shared" si="1"/>
        <v>140000</v>
      </c>
      <c r="E10" s="58">
        <f t="shared" si="2"/>
        <v>0</v>
      </c>
      <c r="F10" s="8" t="str">
        <f t="shared" si="3"/>
        <v>안정</v>
      </c>
      <c r="G10" s="8" t="str">
        <f t="shared" si="4"/>
        <v>░░░░░░░░░░</v>
      </c>
      <c r="I10" s="8">
        <v>2.0</v>
      </c>
      <c r="J10" s="8" t="str">
        <f t="array" ref="J10">INDEX($A$8:$A$21,MATCH(LARGE($E$8:$E$21,2),$E$8:$E$21,0))</f>
        <v>대출</v>
      </c>
      <c r="K10" s="14">
        <f>LARGE($E$8:$E$21,2)</f>
        <v>0</v>
      </c>
      <c r="L10" s="62">
        <f t="array" ref="L10">INDEX($D$8:$D$21,MATCH(LARGE($E$8:$E$21,2),$E$8:$E$21,0))</f>
        <v>2900000</v>
      </c>
    </row>
    <row r="11">
      <c r="A11" s="8" t="s">
        <v>116</v>
      </c>
      <c r="B11" s="13">
        <v>210000.0</v>
      </c>
      <c r="C11" s="13">
        <f>IFERROR(ABS(SUMIFS('내역'!E:E,'내역'!C:C,"주거비",'내역'!A:A,"&gt;="&amp;DATE('연간현황'!B3,1,1),'내역'!A:A,"&lt;="&amp;EOMONTH(DATE('연간현황'!B3,1,1),0))),0)</f>
        <v>0</v>
      </c>
      <c r="D11" s="13">
        <f t="shared" si="1"/>
        <v>210000</v>
      </c>
      <c r="E11" s="58">
        <f t="shared" si="2"/>
        <v>0</v>
      </c>
      <c r="F11" s="8" t="str">
        <f t="shared" si="3"/>
        <v>안정</v>
      </c>
      <c r="G11" s="8" t="str">
        <f t="shared" si="4"/>
        <v>░░░░░░░░░░</v>
      </c>
      <c r="I11" s="8">
        <v>3.0</v>
      </c>
      <c r="J11" s="8" t="str">
        <f t="array" ref="J11">INDEX($A$8:$A$21,MATCH(LARGE($E$8:$E$21,3),$E$8:$E$21,0))</f>
        <v>대출</v>
      </c>
      <c r="K11" s="14">
        <f>LARGE($E$8:$E$21,3)</f>
        <v>0</v>
      </c>
      <c r="L11" s="62">
        <f t="array" ref="L11">INDEX($D$8:$D$21,MATCH(LARGE($E$8:$E$21,3),$E$8:$E$21,0))</f>
        <v>2900000</v>
      </c>
    </row>
    <row r="12">
      <c r="A12" s="8" t="s">
        <v>117</v>
      </c>
      <c r="B12" s="13">
        <v>260000.0</v>
      </c>
      <c r="C12" s="13">
        <f>IFERROR(ABS(SUMIFS('내역'!E:E,'내역'!C:C,"생활고정비",'내역'!A:A,"&gt;="&amp;DATE('연간현황'!B3,1,1),'내역'!A:A,"&lt;="&amp;EOMONTH(DATE('연간현황'!B3,1,1),0))),0)</f>
        <v>0</v>
      </c>
      <c r="D12" s="13">
        <f t="shared" si="1"/>
        <v>260000</v>
      </c>
      <c r="E12" s="58">
        <f t="shared" si="2"/>
        <v>0</v>
      </c>
      <c r="F12" s="8" t="str">
        <f t="shared" si="3"/>
        <v>안정</v>
      </c>
      <c r="G12" s="8" t="str">
        <f t="shared" si="4"/>
        <v>░░░░░░░░░░</v>
      </c>
    </row>
    <row r="13">
      <c r="A13" s="8" t="s">
        <v>118</v>
      </c>
      <c r="B13" s="13">
        <v>580000.0</v>
      </c>
      <c r="C13" s="13">
        <f>IFERROR(ABS(SUMIFS('내역'!E:E,'내역'!C:C,"금융고정비",'내역'!A:A,"&gt;="&amp;DATE('연간현황'!B3,1,1),'내역'!A:A,"&lt;="&amp;EOMONTH(DATE('연간현황'!B3,1,1),0))),0)</f>
        <v>0</v>
      </c>
      <c r="D13" s="13">
        <f t="shared" si="1"/>
        <v>580000</v>
      </c>
      <c r="E13" s="58">
        <f t="shared" si="2"/>
        <v>0</v>
      </c>
      <c r="F13" s="8" t="str">
        <f t="shared" si="3"/>
        <v>안정</v>
      </c>
      <c r="G13" s="8" t="str">
        <f t="shared" si="4"/>
        <v>░░░░░░░░░░</v>
      </c>
      <c r="I13" s="10" t="s">
        <v>11</v>
      </c>
    </row>
    <row r="14">
      <c r="A14" s="8" t="s">
        <v>119</v>
      </c>
      <c r="B14" s="13">
        <v>150000.0</v>
      </c>
      <c r="C14" s="13">
        <f>IFERROR(ABS(SUMIFS('내역'!E:E,'내역'!C:C,"교통",'내역'!A:A,"&gt;="&amp;DATE('연간현황'!B3,1,1),'내역'!A:A,"&lt;="&amp;EOMONTH(DATE('연간현황'!B3,1,1),0))),0)</f>
        <v>0</v>
      </c>
      <c r="D14" s="13">
        <f t="shared" si="1"/>
        <v>150000</v>
      </c>
      <c r="E14" s="58">
        <f t="shared" si="2"/>
        <v>0</v>
      </c>
      <c r="F14" s="8" t="str">
        <f t="shared" si="3"/>
        <v>안정</v>
      </c>
      <c r="G14" s="8" t="str">
        <f t="shared" si="4"/>
        <v>░░░░░░░░░░</v>
      </c>
      <c r="I14" s="12" t="s">
        <v>121</v>
      </c>
    </row>
    <row r="15">
      <c r="A15" s="8" t="s">
        <v>122</v>
      </c>
      <c r="B15" s="13">
        <v>800000.0</v>
      </c>
      <c r="C15" s="13">
        <f>IFERROR(ABS(SUMIFS('내역'!E:E,'내역'!C:C,"식비",'내역'!A:A,"&gt;="&amp;DATE('연간현황'!B3,1,1),'내역'!A:A,"&lt;="&amp;EOMONTH(DATE('연간현황'!B3,1,1),0))),0)</f>
        <v>0</v>
      </c>
      <c r="D15" s="13">
        <f t="shared" si="1"/>
        <v>800000</v>
      </c>
      <c r="E15" s="58">
        <f t="shared" si="2"/>
        <v>0</v>
      </c>
      <c r="F15" s="8" t="str">
        <f t="shared" si="3"/>
        <v>안정</v>
      </c>
      <c r="G15" s="8" t="str">
        <f t="shared" si="4"/>
        <v>░░░░░░░░░░</v>
      </c>
      <c r="I15" s="12" t="s">
        <v>123</v>
      </c>
    </row>
    <row r="16">
      <c r="A16" s="8" t="s">
        <v>124</v>
      </c>
      <c r="B16" s="13">
        <v>300000.0</v>
      </c>
      <c r="C16" s="13">
        <f>IFERROR(ABS(SUMIFS('내역'!E:E,'내역'!C:C,"육아",'내역'!A:A,"&gt;="&amp;DATE('연간현황'!B3,1,1),'내역'!A:A,"&lt;="&amp;EOMONTH(DATE('연간현황'!B3,1,1),0))),0)</f>
        <v>0</v>
      </c>
      <c r="D16" s="13">
        <f t="shared" si="1"/>
        <v>300000</v>
      </c>
      <c r="E16" s="58">
        <f t="shared" si="2"/>
        <v>0</v>
      </c>
      <c r="F16" s="8" t="str">
        <f t="shared" si="3"/>
        <v>안정</v>
      </c>
      <c r="G16" s="8" t="str">
        <f t="shared" si="4"/>
        <v>░░░░░░░░░░</v>
      </c>
      <c r="I16" s="12" t="s">
        <v>125</v>
      </c>
    </row>
    <row r="17">
      <c r="A17" s="64" t="s">
        <v>126</v>
      </c>
      <c r="B17" s="65">
        <v>150000.0</v>
      </c>
      <c r="C17" s="13">
        <f>IFERROR(ABS(SUMIFS('내역'!E:E,'내역'!C:C,"의료비",'내역'!A:A,"&gt;="&amp;DATE('연간현황'!B3,1,1),'내역'!A:A,"&lt;="&amp;EOMONTH(DATE('연간현황'!B3,1,1),0))),0)</f>
        <v>0</v>
      </c>
      <c r="D17" s="13">
        <f t="shared" si="1"/>
        <v>150000</v>
      </c>
      <c r="E17" s="58">
        <f t="shared" si="2"/>
        <v>0</v>
      </c>
      <c r="F17" s="8" t="str">
        <f t="shared" si="3"/>
        <v>안정</v>
      </c>
      <c r="G17" s="8" t="str">
        <f t="shared" si="4"/>
        <v>░░░░░░░░░░</v>
      </c>
      <c r="I17" s="12" t="s">
        <v>127</v>
      </c>
    </row>
    <row r="18">
      <c r="A18" s="8" t="s">
        <v>128</v>
      </c>
      <c r="B18" s="13">
        <v>300000.0</v>
      </c>
      <c r="C18" s="13">
        <f>IFERROR(ABS(SUMIFS('내역'!E:E,'내역'!C:C,"기타생활비",'내역'!A:A,"&gt;="&amp;DATE('연간현황'!B3,1,1),'내역'!A:A,"&lt;="&amp;EOMONTH(DATE('연간현황'!B3,1,1),0))),0)</f>
        <v>0</v>
      </c>
      <c r="D18" s="13">
        <f t="shared" si="1"/>
        <v>300000</v>
      </c>
      <c r="E18" s="58">
        <f t="shared" si="2"/>
        <v>0</v>
      </c>
      <c r="F18" s="8" t="str">
        <f t="shared" si="3"/>
        <v>안정</v>
      </c>
      <c r="G18" s="8" t="str">
        <f t="shared" si="4"/>
        <v>░░░░░░░░░░</v>
      </c>
    </row>
    <row r="19">
      <c r="A19" s="8" t="s">
        <v>129</v>
      </c>
      <c r="B19" s="13">
        <v>100000.0</v>
      </c>
      <c r="C19" s="13">
        <f>IFERROR(ABS(SUMIFS('내역'!E:E,'내역'!C:C,"이벤트",'내역'!A:A,"&gt;="&amp;DATE('연간현황'!B3,1,1),'내역'!A:A,"&lt;="&amp;EOMONTH(DATE('연간현황'!B3,1,1),0))),0)</f>
        <v>0</v>
      </c>
      <c r="D19" s="13">
        <f t="shared" si="1"/>
        <v>100000</v>
      </c>
      <c r="E19" s="58">
        <f t="shared" si="2"/>
        <v>0</v>
      </c>
      <c r="F19" s="8" t="str">
        <f t="shared" si="3"/>
        <v>안정</v>
      </c>
      <c r="G19" s="8" t="str">
        <f t="shared" si="4"/>
        <v>░░░░░░░░░░</v>
      </c>
    </row>
    <row r="20">
      <c r="A20" s="8" t="s">
        <v>130</v>
      </c>
      <c r="B20" s="13">
        <v>250000.0</v>
      </c>
      <c r="C20" s="13">
        <f>IFERROR(ABS(SUMIFS('내역'!E:E,'내역'!C:C,"기석용돈",'내역'!A:A,"&gt;="&amp;DATE('연간현황'!B3,1,1),'내역'!A:A,"&lt;="&amp;EOMONTH(DATE('연간현황'!B3,1,1),0))),0)</f>
        <v>0</v>
      </c>
      <c r="D20" s="13">
        <f t="shared" si="1"/>
        <v>250000</v>
      </c>
      <c r="E20" s="58">
        <f t="shared" si="2"/>
        <v>0</v>
      </c>
      <c r="F20" s="8" t="str">
        <f t="shared" si="3"/>
        <v>안정</v>
      </c>
      <c r="G20" s="8" t="str">
        <f t="shared" si="4"/>
        <v>░░░░░░░░░░</v>
      </c>
    </row>
    <row r="21">
      <c r="A21" s="8" t="s">
        <v>131</v>
      </c>
      <c r="B21" s="13">
        <v>250000.0</v>
      </c>
      <c r="C21" s="13">
        <f>IFERROR(ABS(SUMIFS('내역'!E:E,'내역'!C:C,"승주용돈",'내역'!A:A,"&gt;="&amp;DATE('연간현황'!B3,1,1),'내역'!A:A,"&lt;="&amp;EOMONTH(DATE('연간현황'!B3,1,1),0))),0)</f>
        <v>0</v>
      </c>
      <c r="D21" s="13">
        <f t="shared" si="1"/>
        <v>250000</v>
      </c>
      <c r="E21" s="58">
        <f t="shared" si="2"/>
        <v>0</v>
      </c>
      <c r="F21" s="8" t="str">
        <f t="shared" si="3"/>
        <v>안정</v>
      </c>
      <c r="G21" s="8" t="str">
        <f t="shared" si="4"/>
        <v>░░░░░░░░░░</v>
      </c>
    </row>
    <row r="22" ht="15.75" customHeight="1">
      <c r="A22" s="66" t="s">
        <v>115</v>
      </c>
      <c r="B22" s="67">
        <f t="shared" ref="B22:D22" si="5">SUM(B8:B21)</f>
        <v>6940000</v>
      </c>
      <c r="C22" s="67">
        <f t="shared" si="5"/>
        <v>0</v>
      </c>
      <c r="D22" s="67">
        <f t="shared" si="5"/>
        <v>6940000</v>
      </c>
      <c r="E22" s="68">
        <f t="shared" si="2"/>
        <v>0</v>
      </c>
      <c r="F22" s="66" t="str">
        <f t="shared" si="3"/>
        <v>안정</v>
      </c>
      <c r="G22" s="66" t="str">
        <f t="shared" si="4"/>
        <v>░░░░░░░░░░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D8:D22">
    <cfRule type="cellIs" dxfId="0" priority="1" operator="lessThan">
      <formula>0</formula>
    </cfRule>
  </conditionalFormatting>
  <conditionalFormatting sqref="D8:D22">
    <cfRule type="cellIs" dxfId="1" priority="2" operator="greaterThanOrEqual">
      <formula>0</formula>
    </cfRule>
  </conditionalFormatting>
  <conditionalFormatting sqref="D8:D22">
    <cfRule type="cellIs" dxfId="2" priority="3" operator="lessThan">
      <formula>0</formula>
    </cfRule>
  </conditionalFormatting>
  <conditionalFormatting sqref="F8:F22">
    <cfRule type="expression" dxfId="0" priority="4">
      <formula>$F8="초과"</formula>
    </cfRule>
  </conditionalFormatting>
  <conditionalFormatting sqref="F8:F22">
    <cfRule type="expression" dxfId="3" priority="5">
      <formula>$F8="주의"</formula>
    </cfRule>
  </conditionalFormatting>
  <conditionalFormatting sqref="F8:F22">
    <cfRule type="expression" dxfId="1" priority="6">
      <formula>$F8="안정"</formula>
    </cfRule>
  </conditionalFormatting>
  <conditionalFormatting sqref="F8:F22">
    <cfRule type="cellIs" dxfId="2" priority="7" operator="equal">
      <formula>"초과"</formula>
    </cfRule>
  </conditionalFormatting>
  <conditionalFormatting sqref="F8:F22">
    <cfRule type="cellIs" dxfId="0" priority="8" operator="equal">
      <formula>"주의"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ADCC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4.0"/>
    <col customWidth="1" min="5" max="5" width="11.0"/>
    <col customWidth="1" min="6" max="6" width="10.0"/>
    <col customWidth="1" min="7" max="7" width="18.0"/>
    <col customWidth="1" min="8" max="8" width="3.0"/>
    <col customWidth="1" min="9" max="12" width="18.0"/>
    <col customWidth="1" min="13" max="26" width="8.71"/>
  </cols>
  <sheetData>
    <row r="1">
      <c r="A1" s="7" t="s">
        <v>101</v>
      </c>
    </row>
    <row r="2">
      <c r="A2" s="3" t="s">
        <v>98</v>
      </c>
    </row>
    <row r="4">
      <c r="A4" s="22" t="s">
        <v>99</v>
      </c>
      <c r="B4" s="24">
        <f>B22</f>
        <v>6940000</v>
      </c>
      <c r="C4" s="50" t="s">
        <v>102</v>
      </c>
      <c r="D4" s="24">
        <f>C22</f>
        <v>0</v>
      </c>
      <c r="E4" s="52" t="s">
        <v>103</v>
      </c>
      <c r="F4" s="53">
        <f>D22</f>
        <v>6940000</v>
      </c>
      <c r="G4" s="22" t="s">
        <v>104</v>
      </c>
      <c r="H4" s="54">
        <f>IFERROR(C22/B22,0)</f>
        <v>0</v>
      </c>
    </row>
    <row r="7">
      <c r="A7" s="55" t="s">
        <v>40</v>
      </c>
      <c r="B7" s="55" t="s">
        <v>105</v>
      </c>
      <c r="C7" s="55" t="s">
        <v>106</v>
      </c>
      <c r="D7" s="55" t="s">
        <v>107</v>
      </c>
      <c r="E7" s="55" t="s">
        <v>63</v>
      </c>
      <c r="F7" s="55" t="s">
        <v>108</v>
      </c>
      <c r="G7" s="55" t="s">
        <v>109</v>
      </c>
      <c r="I7" s="56" t="s">
        <v>110</v>
      </c>
    </row>
    <row r="8">
      <c r="A8" s="8" t="s">
        <v>111</v>
      </c>
      <c r="B8" s="13">
        <v>2900000.0</v>
      </c>
      <c r="C8" s="13">
        <f>IFERROR(ABS(SUMIFS('내역'!E:E,'내역'!C:C,"대출",'내역'!A:A,"&gt;="&amp;DATE('연간현황'!B3,2,1),'내역'!A:A,"&lt;="&amp;EOMONTH(DATE('연간현황'!B3,2,1),0))),0)</f>
        <v>0</v>
      </c>
      <c r="D8" s="13">
        <f t="shared" ref="D8:D21" si="1">B8-C8</f>
        <v>2900000</v>
      </c>
      <c r="E8" s="58">
        <f t="shared" ref="E8:E22" si="2">IFERROR(C8/B8,0)</f>
        <v>0</v>
      </c>
      <c r="F8" s="8" t="str">
        <f t="shared" ref="F8:F22" si="3">IF(E8&gt;=1,"초과",IF(E8&gt;=0.8,"주의","안정"))</f>
        <v>안정</v>
      </c>
      <c r="G8" s="8" t="str">
        <f t="shared" ref="G8:G22" si="4">REPT("█",ROUND(MIN(1,E8)*10,0))&amp;REPT("░",10-ROUND(MIN(1,E8)*10,0))</f>
        <v>░░░░░░░░░░</v>
      </c>
      <c r="I8" s="61" t="s">
        <v>112</v>
      </c>
      <c r="J8" s="61" t="s">
        <v>40</v>
      </c>
      <c r="K8" s="61" t="s">
        <v>63</v>
      </c>
      <c r="L8" s="61" t="s">
        <v>107</v>
      </c>
    </row>
    <row r="9">
      <c r="A9" s="8" t="s">
        <v>113</v>
      </c>
      <c r="B9" s="13">
        <v>550000.0</v>
      </c>
      <c r="C9" s="13">
        <f>IFERROR(ABS(SUMIFS('내역'!E:E,'내역'!C:C,"보험",'내역'!A:A,"&gt;="&amp;DATE('연간현황'!B3,2,1),'내역'!A:A,"&lt;="&amp;EOMONTH(DATE('연간현황'!B3,2,1),0))),0)</f>
        <v>0</v>
      </c>
      <c r="D9" s="13">
        <f t="shared" si="1"/>
        <v>550000</v>
      </c>
      <c r="E9" s="58">
        <f t="shared" si="2"/>
        <v>0</v>
      </c>
      <c r="F9" s="8" t="str">
        <f t="shared" si="3"/>
        <v>안정</v>
      </c>
      <c r="G9" s="8" t="str">
        <f t="shared" si="4"/>
        <v>░░░░░░░░░░</v>
      </c>
      <c r="I9" s="8">
        <v>1.0</v>
      </c>
      <c r="J9" s="8" t="str">
        <f t="array" ref="J9">INDEX($A$8:$A$21,MATCH(LARGE($E$8:$E$21,1),$E$8:$E$21,0))</f>
        <v>대출</v>
      </c>
      <c r="K9" s="14">
        <f>LARGE($E$8:$E$21,1)</f>
        <v>0</v>
      </c>
      <c r="L9" s="62">
        <f t="array" ref="L9">INDEX($D$8:$D$21,MATCH(LARGE($E$8:$E$21,1),$E$8:$E$21,0))</f>
        <v>2900000</v>
      </c>
    </row>
    <row r="10">
      <c r="A10" s="8" t="s">
        <v>114</v>
      </c>
      <c r="B10" s="13">
        <v>140000.0</v>
      </c>
      <c r="C10" s="13">
        <f>IFERROR(ABS(SUMIFS('내역'!E:E,'내역'!C:C,"통신비",'내역'!A:A,"&gt;="&amp;DATE('연간현황'!B3,2,1),'내역'!A:A,"&lt;="&amp;EOMONTH(DATE('연간현황'!B3,2,1),0))),0)</f>
        <v>0</v>
      </c>
      <c r="D10" s="13">
        <f t="shared" si="1"/>
        <v>140000</v>
      </c>
      <c r="E10" s="58">
        <f t="shared" si="2"/>
        <v>0</v>
      </c>
      <c r="F10" s="8" t="str">
        <f t="shared" si="3"/>
        <v>안정</v>
      </c>
      <c r="G10" s="8" t="str">
        <f t="shared" si="4"/>
        <v>░░░░░░░░░░</v>
      </c>
      <c r="I10" s="8">
        <v>2.0</v>
      </c>
      <c r="J10" s="8" t="str">
        <f t="array" ref="J10">INDEX($A$8:$A$21,MATCH(LARGE($E$8:$E$21,2),$E$8:$E$21,0))</f>
        <v>대출</v>
      </c>
      <c r="K10" s="14">
        <f>LARGE($E$8:$E$21,2)</f>
        <v>0</v>
      </c>
      <c r="L10" s="62">
        <f t="array" ref="L10">INDEX($D$8:$D$21,MATCH(LARGE($E$8:$E$21,2),$E$8:$E$21,0))</f>
        <v>2900000</v>
      </c>
    </row>
    <row r="11">
      <c r="A11" s="8" t="s">
        <v>116</v>
      </c>
      <c r="B11" s="13">
        <v>210000.0</v>
      </c>
      <c r="C11" s="13">
        <f>IFERROR(ABS(SUMIFS('내역'!E:E,'내역'!C:C,"주거비",'내역'!A:A,"&gt;="&amp;DATE('연간현황'!B3,2,1),'내역'!A:A,"&lt;="&amp;EOMONTH(DATE('연간현황'!B3,2,1),0))),0)</f>
        <v>0</v>
      </c>
      <c r="D11" s="13">
        <f t="shared" si="1"/>
        <v>210000</v>
      </c>
      <c r="E11" s="58">
        <f t="shared" si="2"/>
        <v>0</v>
      </c>
      <c r="F11" s="8" t="str">
        <f t="shared" si="3"/>
        <v>안정</v>
      </c>
      <c r="G11" s="8" t="str">
        <f t="shared" si="4"/>
        <v>░░░░░░░░░░</v>
      </c>
      <c r="I11" s="8">
        <v>3.0</v>
      </c>
      <c r="J11" s="8" t="str">
        <f t="array" ref="J11">INDEX($A$8:$A$21,MATCH(LARGE($E$8:$E$21,3),$E$8:$E$21,0))</f>
        <v>대출</v>
      </c>
      <c r="K11" s="14">
        <f>LARGE($E$8:$E$21,3)</f>
        <v>0</v>
      </c>
      <c r="L11" s="62">
        <f t="array" ref="L11">INDEX($D$8:$D$21,MATCH(LARGE($E$8:$E$21,3),$E$8:$E$21,0))</f>
        <v>2900000</v>
      </c>
    </row>
    <row r="12">
      <c r="A12" s="8" t="s">
        <v>117</v>
      </c>
      <c r="B12" s="13">
        <v>260000.0</v>
      </c>
      <c r="C12" s="13">
        <f>IFERROR(ABS(SUMIFS('내역'!E:E,'내역'!C:C,"생활고정비",'내역'!A:A,"&gt;="&amp;DATE('연간현황'!B3,2,1),'내역'!A:A,"&lt;="&amp;EOMONTH(DATE('연간현황'!B3,2,1),0))),0)</f>
        <v>0</v>
      </c>
      <c r="D12" s="13">
        <f t="shared" si="1"/>
        <v>260000</v>
      </c>
      <c r="E12" s="58">
        <f t="shared" si="2"/>
        <v>0</v>
      </c>
      <c r="F12" s="8" t="str">
        <f t="shared" si="3"/>
        <v>안정</v>
      </c>
      <c r="G12" s="8" t="str">
        <f t="shared" si="4"/>
        <v>░░░░░░░░░░</v>
      </c>
    </row>
    <row r="13">
      <c r="A13" s="8" t="s">
        <v>118</v>
      </c>
      <c r="B13" s="13">
        <v>580000.0</v>
      </c>
      <c r="C13" s="13">
        <f>IFERROR(ABS(SUMIFS('내역'!E:E,'내역'!C:C,"금융고정비",'내역'!A:A,"&gt;="&amp;DATE('연간현황'!B3,2,1),'내역'!A:A,"&lt;="&amp;EOMONTH(DATE('연간현황'!B3,2,1),0))),0)</f>
        <v>0</v>
      </c>
      <c r="D13" s="13">
        <f t="shared" si="1"/>
        <v>580000</v>
      </c>
      <c r="E13" s="58">
        <f t="shared" si="2"/>
        <v>0</v>
      </c>
      <c r="F13" s="8" t="str">
        <f t="shared" si="3"/>
        <v>안정</v>
      </c>
      <c r="G13" s="8" t="str">
        <f t="shared" si="4"/>
        <v>░░░░░░░░░░</v>
      </c>
      <c r="I13" s="10" t="s">
        <v>11</v>
      </c>
    </row>
    <row r="14">
      <c r="A14" s="8" t="s">
        <v>119</v>
      </c>
      <c r="B14" s="13">
        <v>150000.0</v>
      </c>
      <c r="C14" s="13">
        <f>IFERROR(ABS(SUMIFS('내역'!E:E,'내역'!C:C,"교통",'내역'!A:A,"&gt;="&amp;DATE('연간현황'!B3,2,1),'내역'!A:A,"&lt;="&amp;EOMONTH(DATE('연간현황'!B3,2,1),0))),0)</f>
        <v>0</v>
      </c>
      <c r="D14" s="13">
        <f t="shared" si="1"/>
        <v>150000</v>
      </c>
      <c r="E14" s="58">
        <f t="shared" si="2"/>
        <v>0</v>
      </c>
      <c r="F14" s="8" t="str">
        <f t="shared" si="3"/>
        <v>안정</v>
      </c>
      <c r="G14" s="8" t="str">
        <f t="shared" si="4"/>
        <v>░░░░░░░░░░</v>
      </c>
      <c r="I14" s="12" t="s">
        <v>121</v>
      </c>
    </row>
    <row r="15">
      <c r="A15" s="8" t="s">
        <v>122</v>
      </c>
      <c r="B15" s="13">
        <v>800000.0</v>
      </c>
      <c r="C15" s="13">
        <f>IFERROR(ABS(SUMIFS('내역'!E:E,'내역'!C:C,"식비",'내역'!A:A,"&gt;="&amp;DATE('연간현황'!B3,2,1),'내역'!A:A,"&lt;="&amp;EOMONTH(DATE('연간현황'!B3,2,1),0))),0)</f>
        <v>0</v>
      </c>
      <c r="D15" s="13">
        <f t="shared" si="1"/>
        <v>800000</v>
      </c>
      <c r="E15" s="58">
        <f t="shared" si="2"/>
        <v>0</v>
      </c>
      <c r="F15" s="8" t="str">
        <f t="shared" si="3"/>
        <v>안정</v>
      </c>
      <c r="G15" s="8" t="str">
        <f t="shared" si="4"/>
        <v>░░░░░░░░░░</v>
      </c>
      <c r="I15" s="12" t="s">
        <v>123</v>
      </c>
    </row>
    <row r="16">
      <c r="A16" s="8" t="s">
        <v>124</v>
      </c>
      <c r="B16" s="13">
        <v>300000.0</v>
      </c>
      <c r="C16" s="13">
        <f>IFERROR(ABS(SUMIFS('내역'!E:E,'내역'!C:C,"육아",'내역'!A:A,"&gt;="&amp;DATE('연간현황'!B3,2,1),'내역'!A:A,"&lt;="&amp;EOMONTH(DATE('연간현황'!B3,2,1),0))),0)</f>
        <v>0</v>
      </c>
      <c r="D16" s="13">
        <f t="shared" si="1"/>
        <v>300000</v>
      </c>
      <c r="E16" s="58">
        <f t="shared" si="2"/>
        <v>0</v>
      </c>
      <c r="F16" s="8" t="str">
        <f t="shared" si="3"/>
        <v>안정</v>
      </c>
      <c r="G16" s="8" t="str">
        <f t="shared" si="4"/>
        <v>░░░░░░░░░░</v>
      </c>
      <c r="I16" s="12" t="s">
        <v>125</v>
      </c>
    </row>
    <row r="17">
      <c r="A17" s="64" t="s">
        <v>126</v>
      </c>
      <c r="B17" s="65">
        <v>150000.0</v>
      </c>
      <c r="C17" s="13">
        <f>IFERROR(ABS(SUMIFS('내역'!E:E,'내역'!C:C,"의료비",'내역'!A:A,"&gt;="&amp;DATE('연간현황'!B3,2,1),'내역'!A:A,"&lt;="&amp;EOMONTH(DATE('연간현황'!B3,2,1),0))),0)</f>
        <v>0</v>
      </c>
      <c r="D17" s="13">
        <f t="shared" si="1"/>
        <v>150000</v>
      </c>
      <c r="E17" s="58">
        <f t="shared" si="2"/>
        <v>0</v>
      </c>
      <c r="F17" s="8" t="str">
        <f t="shared" si="3"/>
        <v>안정</v>
      </c>
      <c r="G17" s="8" t="str">
        <f t="shared" si="4"/>
        <v>░░░░░░░░░░</v>
      </c>
      <c r="I17" s="12" t="s">
        <v>127</v>
      </c>
    </row>
    <row r="18">
      <c r="A18" s="8" t="s">
        <v>128</v>
      </c>
      <c r="B18" s="13">
        <v>300000.0</v>
      </c>
      <c r="C18" s="13">
        <f>IFERROR(ABS(SUMIFS('내역'!E:E,'내역'!C:C,"기타생활비",'내역'!A:A,"&gt;="&amp;DATE('연간현황'!B3,2,1),'내역'!A:A,"&lt;="&amp;EOMONTH(DATE('연간현황'!B3,2,1),0))),0)</f>
        <v>0</v>
      </c>
      <c r="D18" s="13">
        <f t="shared" si="1"/>
        <v>300000</v>
      </c>
      <c r="E18" s="58">
        <f t="shared" si="2"/>
        <v>0</v>
      </c>
      <c r="F18" s="8" t="str">
        <f t="shared" si="3"/>
        <v>안정</v>
      </c>
      <c r="G18" s="8" t="str">
        <f t="shared" si="4"/>
        <v>░░░░░░░░░░</v>
      </c>
    </row>
    <row r="19">
      <c r="A19" s="8" t="s">
        <v>129</v>
      </c>
      <c r="B19" s="13">
        <v>100000.0</v>
      </c>
      <c r="C19" s="13">
        <f>IFERROR(ABS(SUMIFS('내역'!E:E,'내역'!C:C,"이벤트",'내역'!A:A,"&gt;="&amp;DATE('연간현황'!B3,2,1),'내역'!A:A,"&lt;="&amp;EOMONTH(DATE('연간현황'!B3,2,1),0))),0)</f>
        <v>0</v>
      </c>
      <c r="D19" s="13">
        <f t="shared" si="1"/>
        <v>100000</v>
      </c>
      <c r="E19" s="58">
        <f t="shared" si="2"/>
        <v>0</v>
      </c>
      <c r="F19" s="8" t="str">
        <f t="shared" si="3"/>
        <v>안정</v>
      </c>
      <c r="G19" s="8" t="str">
        <f t="shared" si="4"/>
        <v>░░░░░░░░░░</v>
      </c>
    </row>
    <row r="20">
      <c r="A20" s="8" t="s">
        <v>130</v>
      </c>
      <c r="B20" s="13">
        <v>250000.0</v>
      </c>
      <c r="C20" s="13">
        <f>IFERROR(ABS(SUMIFS('내역'!E:E,'내역'!C:C,"기석용돈",'내역'!A:A,"&gt;="&amp;DATE('연간현황'!B3,2,1),'내역'!A:A,"&lt;="&amp;EOMONTH(DATE('연간현황'!B3,2,1),0))),0)</f>
        <v>0</v>
      </c>
      <c r="D20" s="13">
        <f t="shared" si="1"/>
        <v>250000</v>
      </c>
      <c r="E20" s="58">
        <f t="shared" si="2"/>
        <v>0</v>
      </c>
      <c r="F20" s="8" t="str">
        <f t="shared" si="3"/>
        <v>안정</v>
      </c>
      <c r="G20" s="8" t="str">
        <f t="shared" si="4"/>
        <v>░░░░░░░░░░</v>
      </c>
    </row>
    <row r="21">
      <c r="A21" s="8" t="s">
        <v>131</v>
      </c>
      <c r="B21" s="13">
        <v>250000.0</v>
      </c>
      <c r="C21" s="13">
        <f>IFERROR(ABS(SUMIFS('내역'!E:E,'내역'!C:C,"승주용돈",'내역'!A:A,"&gt;="&amp;DATE('연간현황'!B3,2,1),'내역'!A:A,"&lt;="&amp;EOMONTH(DATE('연간현황'!B3,2,1),0))),0)</f>
        <v>0</v>
      </c>
      <c r="D21" s="13">
        <f t="shared" si="1"/>
        <v>250000</v>
      </c>
      <c r="E21" s="58">
        <f t="shared" si="2"/>
        <v>0</v>
      </c>
      <c r="F21" s="8" t="str">
        <f t="shared" si="3"/>
        <v>안정</v>
      </c>
      <c r="G21" s="8" t="str">
        <f t="shared" si="4"/>
        <v>░░░░░░░░░░</v>
      </c>
    </row>
    <row r="22" ht="15.75" customHeight="1">
      <c r="A22" s="66" t="s">
        <v>115</v>
      </c>
      <c r="B22" s="67">
        <f t="shared" ref="B22:D22" si="5">SUM(B8:B21)</f>
        <v>6940000</v>
      </c>
      <c r="C22" s="67">
        <f t="shared" si="5"/>
        <v>0</v>
      </c>
      <c r="D22" s="67">
        <f t="shared" si="5"/>
        <v>6940000</v>
      </c>
      <c r="E22" s="68">
        <f t="shared" si="2"/>
        <v>0</v>
      </c>
      <c r="F22" s="66" t="str">
        <f t="shared" si="3"/>
        <v>안정</v>
      </c>
      <c r="G22" s="66" t="str">
        <f t="shared" si="4"/>
        <v>░░░░░░░░░░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D8:D22">
    <cfRule type="cellIs" dxfId="0" priority="1" operator="lessThan">
      <formula>0</formula>
    </cfRule>
  </conditionalFormatting>
  <conditionalFormatting sqref="D8:D22">
    <cfRule type="cellIs" dxfId="1" priority="2" operator="greaterThanOrEqual">
      <formula>0</formula>
    </cfRule>
  </conditionalFormatting>
  <conditionalFormatting sqref="D8:D22">
    <cfRule type="cellIs" dxfId="2" priority="3" operator="lessThan">
      <formula>0</formula>
    </cfRule>
  </conditionalFormatting>
  <conditionalFormatting sqref="F8:F22">
    <cfRule type="expression" dxfId="0" priority="4">
      <formula>$F8="초과"</formula>
    </cfRule>
  </conditionalFormatting>
  <conditionalFormatting sqref="F8:F22">
    <cfRule type="expression" dxfId="3" priority="5">
      <formula>$F8="주의"</formula>
    </cfRule>
  </conditionalFormatting>
  <conditionalFormatting sqref="F8:F22">
    <cfRule type="expression" dxfId="1" priority="6">
      <formula>$F8="안정"</formula>
    </cfRule>
  </conditionalFormatting>
  <conditionalFormatting sqref="F8:F22">
    <cfRule type="cellIs" dxfId="2" priority="7" operator="equal">
      <formula>"초과"</formula>
    </cfRule>
  </conditionalFormatting>
  <conditionalFormatting sqref="F8:F22">
    <cfRule type="cellIs" dxfId="0" priority="8" operator="equal">
      <formula>"주의"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ADCC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4.0"/>
    <col customWidth="1" min="5" max="5" width="11.0"/>
    <col customWidth="1" min="6" max="6" width="10.0"/>
    <col customWidth="1" min="7" max="7" width="18.0"/>
    <col customWidth="1" min="8" max="8" width="3.0"/>
    <col customWidth="1" min="9" max="12" width="18.0"/>
    <col customWidth="1" min="13" max="26" width="8.71"/>
  </cols>
  <sheetData>
    <row r="1">
      <c r="A1" s="7" t="s">
        <v>120</v>
      </c>
    </row>
    <row r="2">
      <c r="A2" s="3" t="s">
        <v>98</v>
      </c>
    </row>
    <row r="4">
      <c r="A4" s="22" t="s">
        <v>99</v>
      </c>
      <c r="B4" s="24">
        <f>B22</f>
        <v>6940000</v>
      </c>
      <c r="C4" s="50" t="s">
        <v>102</v>
      </c>
      <c r="D4" s="24">
        <f>C22</f>
        <v>0</v>
      </c>
      <c r="E4" s="52" t="s">
        <v>103</v>
      </c>
      <c r="F4" s="53">
        <f>D22</f>
        <v>6940000</v>
      </c>
      <c r="G4" s="22" t="s">
        <v>104</v>
      </c>
      <c r="H4" s="54">
        <f>IFERROR(C22/B22,0)</f>
        <v>0</v>
      </c>
    </row>
    <row r="7">
      <c r="A7" s="55" t="s">
        <v>40</v>
      </c>
      <c r="B7" s="55" t="s">
        <v>105</v>
      </c>
      <c r="C7" s="55" t="s">
        <v>106</v>
      </c>
      <c r="D7" s="55" t="s">
        <v>107</v>
      </c>
      <c r="E7" s="55" t="s">
        <v>63</v>
      </c>
      <c r="F7" s="55" t="s">
        <v>108</v>
      </c>
      <c r="G7" s="55" t="s">
        <v>109</v>
      </c>
      <c r="I7" s="56" t="s">
        <v>110</v>
      </c>
    </row>
    <row r="8">
      <c r="A8" s="8" t="s">
        <v>111</v>
      </c>
      <c r="B8" s="13">
        <v>2900000.0</v>
      </c>
      <c r="C8" s="13">
        <f>IFERROR(ABS(SUMIFS('내역'!E:E,'내역'!C:C,"대출",'내역'!A:A,"&gt;="&amp;DATE('연간현황'!B3,3,1),'내역'!A:A,"&lt;="&amp;EOMONTH(DATE('연간현황'!B3,3,1),0))),0)</f>
        <v>0</v>
      </c>
      <c r="D8" s="13">
        <f t="shared" ref="D8:D21" si="1">B8-C8</f>
        <v>2900000</v>
      </c>
      <c r="E8" s="58">
        <f t="shared" ref="E8:E22" si="2">IFERROR(C8/B8,0)</f>
        <v>0</v>
      </c>
      <c r="F8" s="8" t="str">
        <f t="shared" ref="F8:F22" si="3">IF(E8&gt;=1,"초과",IF(E8&gt;=0.8,"주의","안정"))</f>
        <v>안정</v>
      </c>
      <c r="G8" s="8" t="str">
        <f t="shared" ref="G8:G22" si="4">REPT("█",ROUND(MIN(1,E8)*10,0))&amp;REPT("░",10-ROUND(MIN(1,E8)*10,0))</f>
        <v>░░░░░░░░░░</v>
      </c>
      <c r="I8" s="61" t="s">
        <v>112</v>
      </c>
      <c r="J8" s="61" t="s">
        <v>40</v>
      </c>
      <c r="K8" s="61" t="s">
        <v>63</v>
      </c>
      <c r="L8" s="61" t="s">
        <v>107</v>
      </c>
    </row>
    <row r="9">
      <c r="A9" s="8" t="s">
        <v>113</v>
      </c>
      <c r="B9" s="13">
        <v>550000.0</v>
      </c>
      <c r="C9" s="13">
        <f>IFERROR(ABS(SUMIFS('내역'!E:E,'내역'!C:C,"보험",'내역'!A:A,"&gt;="&amp;DATE('연간현황'!B3,3,1),'내역'!A:A,"&lt;="&amp;EOMONTH(DATE('연간현황'!B3,3,1),0))),0)</f>
        <v>0</v>
      </c>
      <c r="D9" s="13">
        <f t="shared" si="1"/>
        <v>550000</v>
      </c>
      <c r="E9" s="58">
        <f t="shared" si="2"/>
        <v>0</v>
      </c>
      <c r="F9" s="8" t="str">
        <f t="shared" si="3"/>
        <v>안정</v>
      </c>
      <c r="G9" s="8" t="str">
        <f t="shared" si="4"/>
        <v>░░░░░░░░░░</v>
      </c>
      <c r="I9" s="8">
        <v>1.0</v>
      </c>
      <c r="J9" s="8" t="str">
        <f t="array" ref="J9">INDEX($A$8:$A$21,MATCH(LARGE($E$8:$E$21,1),$E$8:$E$21,0))</f>
        <v>대출</v>
      </c>
      <c r="K9" s="14">
        <f>LARGE($E$8:$E$21,1)</f>
        <v>0</v>
      </c>
      <c r="L9" s="62">
        <f t="array" ref="L9">INDEX($D$8:$D$21,MATCH(LARGE($E$8:$E$21,1),$E$8:$E$21,0))</f>
        <v>2900000</v>
      </c>
    </row>
    <row r="10">
      <c r="A10" s="8" t="s">
        <v>114</v>
      </c>
      <c r="B10" s="13">
        <v>140000.0</v>
      </c>
      <c r="C10" s="13">
        <f>IFERROR(ABS(SUMIFS('내역'!E:E,'내역'!C:C,"통신비",'내역'!A:A,"&gt;="&amp;DATE('연간현황'!B3,3,1),'내역'!A:A,"&lt;="&amp;EOMONTH(DATE('연간현황'!B3,3,1),0))),0)</f>
        <v>0</v>
      </c>
      <c r="D10" s="13">
        <f t="shared" si="1"/>
        <v>140000</v>
      </c>
      <c r="E10" s="58">
        <f t="shared" si="2"/>
        <v>0</v>
      </c>
      <c r="F10" s="8" t="str">
        <f t="shared" si="3"/>
        <v>안정</v>
      </c>
      <c r="G10" s="8" t="str">
        <f t="shared" si="4"/>
        <v>░░░░░░░░░░</v>
      </c>
      <c r="I10" s="8">
        <v>2.0</v>
      </c>
      <c r="J10" s="8" t="str">
        <f t="array" ref="J10">INDEX($A$8:$A$21,MATCH(LARGE($E$8:$E$21,2),$E$8:$E$21,0))</f>
        <v>대출</v>
      </c>
      <c r="K10" s="14">
        <f>LARGE($E$8:$E$21,2)</f>
        <v>0</v>
      </c>
      <c r="L10" s="62">
        <f t="array" ref="L10">INDEX($D$8:$D$21,MATCH(LARGE($E$8:$E$21,2),$E$8:$E$21,0))</f>
        <v>2900000</v>
      </c>
    </row>
    <row r="11">
      <c r="A11" s="8" t="s">
        <v>116</v>
      </c>
      <c r="B11" s="13">
        <v>210000.0</v>
      </c>
      <c r="C11" s="13">
        <f>IFERROR(ABS(SUMIFS('내역'!E:E,'내역'!C:C,"주거비",'내역'!A:A,"&gt;="&amp;DATE('연간현황'!B3,3,1),'내역'!A:A,"&lt;="&amp;EOMONTH(DATE('연간현황'!B3,3,1),0))),0)</f>
        <v>0</v>
      </c>
      <c r="D11" s="13">
        <f t="shared" si="1"/>
        <v>210000</v>
      </c>
      <c r="E11" s="58">
        <f t="shared" si="2"/>
        <v>0</v>
      </c>
      <c r="F11" s="8" t="str">
        <f t="shared" si="3"/>
        <v>안정</v>
      </c>
      <c r="G11" s="8" t="str">
        <f t="shared" si="4"/>
        <v>░░░░░░░░░░</v>
      </c>
      <c r="I11" s="8">
        <v>3.0</v>
      </c>
      <c r="J11" s="8" t="str">
        <f t="array" ref="J11">INDEX($A$8:$A$21,MATCH(LARGE($E$8:$E$21,3),$E$8:$E$21,0))</f>
        <v>대출</v>
      </c>
      <c r="K11" s="14">
        <f>LARGE($E$8:$E$21,3)</f>
        <v>0</v>
      </c>
      <c r="L11" s="62">
        <f t="array" ref="L11">INDEX($D$8:$D$21,MATCH(LARGE($E$8:$E$21,3),$E$8:$E$21,0))</f>
        <v>2900000</v>
      </c>
    </row>
    <row r="12">
      <c r="A12" s="8" t="s">
        <v>117</v>
      </c>
      <c r="B12" s="13">
        <v>260000.0</v>
      </c>
      <c r="C12" s="13">
        <f>IFERROR(ABS(SUMIFS('내역'!E:E,'내역'!C:C,"생활고정비",'내역'!A:A,"&gt;="&amp;DATE('연간현황'!B3,3,1),'내역'!A:A,"&lt;="&amp;EOMONTH(DATE('연간현황'!B3,3,1),0))),0)</f>
        <v>0</v>
      </c>
      <c r="D12" s="13">
        <f t="shared" si="1"/>
        <v>260000</v>
      </c>
      <c r="E12" s="58">
        <f t="shared" si="2"/>
        <v>0</v>
      </c>
      <c r="F12" s="8" t="str">
        <f t="shared" si="3"/>
        <v>안정</v>
      </c>
      <c r="G12" s="8" t="str">
        <f t="shared" si="4"/>
        <v>░░░░░░░░░░</v>
      </c>
    </row>
    <row r="13">
      <c r="A13" s="8" t="s">
        <v>118</v>
      </c>
      <c r="B13" s="13">
        <v>580000.0</v>
      </c>
      <c r="C13" s="13">
        <f>IFERROR(ABS(SUMIFS('내역'!E:E,'내역'!C:C,"금융고정비",'내역'!A:A,"&gt;="&amp;DATE('연간현황'!B3,3,1),'내역'!A:A,"&lt;="&amp;EOMONTH(DATE('연간현황'!B3,3,1),0))),0)</f>
        <v>0</v>
      </c>
      <c r="D13" s="13">
        <f t="shared" si="1"/>
        <v>580000</v>
      </c>
      <c r="E13" s="58">
        <f t="shared" si="2"/>
        <v>0</v>
      </c>
      <c r="F13" s="8" t="str">
        <f t="shared" si="3"/>
        <v>안정</v>
      </c>
      <c r="G13" s="8" t="str">
        <f t="shared" si="4"/>
        <v>░░░░░░░░░░</v>
      </c>
      <c r="I13" s="10" t="s">
        <v>11</v>
      </c>
    </row>
    <row r="14">
      <c r="A14" s="8" t="s">
        <v>119</v>
      </c>
      <c r="B14" s="13">
        <v>150000.0</v>
      </c>
      <c r="C14" s="13">
        <f>IFERROR(ABS(SUMIFS('내역'!E:E,'내역'!C:C,"교통",'내역'!A:A,"&gt;="&amp;DATE('연간현황'!B3,3,1),'내역'!A:A,"&lt;="&amp;EOMONTH(DATE('연간현황'!B3,3,1),0))),0)</f>
        <v>0</v>
      </c>
      <c r="D14" s="13">
        <f t="shared" si="1"/>
        <v>150000</v>
      </c>
      <c r="E14" s="58">
        <f t="shared" si="2"/>
        <v>0</v>
      </c>
      <c r="F14" s="8" t="str">
        <f t="shared" si="3"/>
        <v>안정</v>
      </c>
      <c r="G14" s="8" t="str">
        <f t="shared" si="4"/>
        <v>░░░░░░░░░░</v>
      </c>
      <c r="I14" s="12" t="s">
        <v>121</v>
      </c>
    </row>
    <row r="15">
      <c r="A15" s="8" t="s">
        <v>122</v>
      </c>
      <c r="B15" s="13">
        <v>800000.0</v>
      </c>
      <c r="C15" s="13">
        <f>IFERROR(ABS(SUMIFS('내역'!E:E,'내역'!C:C,"식비",'내역'!A:A,"&gt;="&amp;DATE('연간현황'!B3,3,1),'내역'!A:A,"&lt;="&amp;EOMONTH(DATE('연간현황'!B3,3,1),0))),0)</f>
        <v>0</v>
      </c>
      <c r="D15" s="13">
        <f t="shared" si="1"/>
        <v>800000</v>
      </c>
      <c r="E15" s="58">
        <f t="shared" si="2"/>
        <v>0</v>
      </c>
      <c r="F15" s="8" t="str">
        <f t="shared" si="3"/>
        <v>안정</v>
      </c>
      <c r="G15" s="8" t="str">
        <f t="shared" si="4"/>
        <v>░░░░░░░░░░</v>
      </c>
      <c r="I15" s="12" t="s">
        <v>123</v>
      </c>
    </row>
    <row r="16">
      <c r="A16" s="8" t="s">
        <v>124</v>
      </c>
      <c r="B16" s="13">
        <v>300000.0</v>
      </c>
      <c r="C16" s="13">
        <f>IFERROR(ABS(SUMIFS('내역'!E:E,'내역'!C:C,"육아",'내역'!A:A,"&gt;="&amp;DATE('연간현황'!B3,3,1),'내역'!A:A,"&lt;="&amp;EOMONTH(DATE('연간현황'!B3,3,1),0))),0)</f>
        <v>0</v>
      </c>
      <c r="D16" s="13">
        <f t="shared" si="1"/>
        <v>300000</v>
      </c>
      <c r="E16" s="58">
        <f t="shared" si="2"/>
        <v>0</v>
      </c>
      <c r="F16" s="8" t="str">
        <f t="shared" si="3"/>
        <v>안정</v>
      </c>
      <c r="G16" s="8" t="str">
        <f t="shared" si="4"/>
        <v>░░░░░░░░░░</v>
      </c>
      <c r="I16" s="12" t="s">
        <v>125</v>
      </c>
    </row>
    <row r="17">
      <c r="A17" s="64" t="s">
        <v>126</v>
      </c>
      <c r="B17" s="65">
        <v>150000.0</v>
      </c>
      <c r="C17" s="13">
        <f>IFERROR(ABS(SUMIFS('내역'!E:E,'내역'!C:C,"의료비",'내역'!A:A,"&gt;="&amp;DATE('연간현황'!B3,3,1),'내역'!A:A,"&lt;="&amp;EOMONTH(DATE('연간현황'!B3,3,1),0))),0)</f>
        <v>0</v>
      </c>
      <c r="D17" s="13">
        <f t="shared" si="1"/>
        <v>150000</v>
      </c>
      <c r="E17" s="58">
        <f t="shared" si="2"/>
        <v>0</v>
      </c>
      <c r="F17" s="8" t="str">
        <f t="shared" si="3"/>
        <v>안정</v>
      </c>
      <c r="G17" s="8" t="str">
        <f t="shared" si="4"/>
        <v>░░░░░░░░░░</v>
      </c>
      <c r="I17" s="12" t="s">
        <v>127</v>
      </c>
    </row>
    <row r="18">
      <c r="A18" s="8" t="s">
        <v>128</v>
      </c>
      <c r="B18" s="13">
        <v>300000.0</v>
      </c>
      <c r="C18" s="13">
        <f>IFERROR(ABS(SUMIFS('내역'!E:E,'내역'!C:C,"기타생활비",'내역'!A:A,"&gt;="&amp;DATE('연간현황'!B3,3,1),'내역'!A:A,"&lt;="&amp;EOMONTH(DATE('연간현황'!B3,3,1),0))),0)</f>
        <v>0</v>
      </c>
      <c r="D18" s="13">
        <f t="shared" si="1"/>
        <v>300000</v>
      </c>
      <c r="E18" s="58">
        <f t="shared" si="2"/>
        <v>0</v>
      </c>
      <c r="F18" s="8" t="str">
        <f t="shared" si="3"/>
        <v>안정</v>
      </c>
      <c r="G18" s="8" t="str">
        <f t="shared" si="4"/>
        <v>░░░░░░░░░░</v>
      </c>
    </row>
    <row r="19">
      <c r="A19" s="8" t="s">
        <v>129</v>
      </c>
      <c r="B19" s="13">
        <v>100000.0</v>
      </c>
      <c r="C19" s="13">
        <f>IFERROR(ABS(SUMIFS('내역'!E:E,'내역'!C:C,"이벤트",'내역'!A:A,"&gt;="&amp;DATE('연간현황'!B3,3,1),'내역'!A:A,"&lt;="&amp;EOMONTH(DATE('연간현황'!B3,3,1),0))),0)</f>
        <v>0</v>
      </c>
      <c r="D19" s="13">
        <f t="shared" si="1"/>
        <v>100000</v>
      </c>
      <c r="E19" s="58">
        <f t="shared" si="2"/>
        <v>0</v>
      </c>
      <c r="F19" s="8" t="str">
        <f t="shared" si="3"/>
        <v>안정</v>
      </c>
      <c r="G19" s="8" t="str">
        <f t="shared" si="4"/>
        <v>░░░░░░░░░░</v>
      </c>
    </row>
    <row r="20">
      <c r="A20" s="8" t="s">
        <v>130</v>
      </c>
      <c r="B20" s="13">
        <v>250000.0</v>
      </c>
      <c r="C20" s="13">
        <f>IFERROR(ABS(SUMIFS('내역'!E:E,'내역'!C:C,"기석용돈",'내역'!A:A,"&gt;="&amp;DATE('연간현황'!B3,3,1),'내역'!A:A,"&lt;="&amp;EOMONTH(DATE('연간현황'!B3,3,1),0))),0)</f>
        <v>0</v>
      </c>
      <c r="D20" s="13">
        <f t="shared" si="1"/>
        <v>250000</v>
      </c>
      <c r="E20" s="58">
        <f t="shared" si="2"/>
        <v>0</v>
      </c>
      <c r="F20" s="8" t="str">
        <f t="shared" si="3"/>
        <v>안정</v>
      </c>
      <c r="G20" s="8" t="str">
        <f t="shared" si="4"/>
        <v>░░░░░░░░░░</v>
      </c>
    </row>
    <row r="21">
      <c r="A21" s="8" t="s">
        <v>131</v>
      </c>
      <c r="B21" s="13">
        <v>250000.0</v>
      </c>
      <c r="C21" s="13">
        <f>IFERROR(ABS(SUMIFS('내역'!E:E,'내역'!C:C,"승주용돈",'내역'!A:A,"&gt;="&amp;DATE('연간현황'!B3,3,1),'내역'!A:A,"&lt;="&amp;EOMONTH(DATE('연간현황'!B3,3,1),0))),0)</f>
        <v>0</v>
      </c>
      <c r="D21" s="13">
        <f t="shared" si="1"/>
        <v>250000</v>
      </c>
      <c r="E21" s="58">
        <f t="shared" si="2"/>
        <v>0</v>
      </c>
      <c r="F21" s="8" t="str">
        <f t="shared" si="3"/>
        <v>안정</v>
      </c>
      <c r="G21" s="8" t="str">
        <f t="shared" si="4"/>
        <v>░░░░░░░░░░</v>
      </c>
    </row>
    <row r="22" ht="15.75" customHeight="1">
      <c r="A22" s="66" t="s">
        <v>115</v>
      </c>
      <c r="B22" s="67">
        <f t="shared" ref="B22:D22" si="5">SUM(B8:B21)</f>
        <v>6940000</v>
      </c>
      <c r="C22" s="67">
        <f t="shared" si="5"/>
        <v>0</v>
      </c>
      <c r="D22" s="67">
        <f t="shared" si="5"/>
        <v>6940000</v>
      </c>
      <c r="E22" s="68">
        <f t="shared" si="2"/>
        <v>0</v>
      </c>
      <c r="F22" s="66" t="str">
        <f t="shared" si="3"/>
        <v>안정</v>
      </c>
      <c r="G22" s="66" t="str">
        <f t="shared" si="4"/>
        <v>░░░░░░░░░░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D8:D22">
    <cfRule type="cellIs" dxfId="0" priority="1" operator="lessThan">
      <formula>0</formula>
    </cfRule>
  </conditionalFormatting>
  <conditionalFormatting sqref="D8:D22">
    <cfRule type="cellIs" dxfId="1" priority="2" operator="greaterThanOrEqual">
      <formula>0</formula>
    </cfRule>
  </conditionalFormatting>
  <conditionalFormatting sqref="D8:D22">
    <cfRule type="cellIs" dxfId="2" priority="3" operator="lessThan">
      <formula>0</formula>
    </cfRule>
  </conditionalFormatting>
  <conditionalFormatting sqref="F8:F22">
    <cfRule type="expression" dxfId="0" priority="4">
      <formula>$F8="초과"</formula>
    </cfRule>
  </conditionalFormatting>
  <conditionalFormatting sqref="F8:F22">
    <cfRule type="expression" dxfId="3" priority="5">
      <formula>$F8="주의"</formula>
    </cfRule>
  </conditionalFormatting>
  <conditionalFormatting sqref="F8:F22">
    <cfRule type="expression" dxfId="1" priority="6">
      <formula>$F8="안정"</formula>
    </cfRule>
  </conditionalFormatting>
  <conditionalFormatting sqref="F8:F22">
    <cfRule type="cellIs" dxfId="2" priority="7" operator="equal">
      <formula>"초과"</formula>
    </cfRule>
  </conditionalFormatting>
  <conditionalFormatting sqref="F8:F22">
    <cfRule type="cellIs" dxfId="0" priority="8" operator="equal">
      <formula>"주의"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ADCC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4.0"/>
    <col customWidth="1" min="5" max="5" width="11.0"/>
    <col customWidth="1" min="6" max="6" width="10.0"/>
    <col customWidth="1" min="7" max="7" width="18.0"/>
    <col customWidth="1" min="8" max="8" width="3.0"/>
    <col customWidth="1" min="9" max="12" width="18.0"/>
    <col customWidth="1" min="13" max="26" width="8.71"/>
  </cols>
  <sheetData>
    <row r="1">
      <c r="A1" s="7" t="s">
        <v>132</v>
      </c>
    </row>
    <row r="2">
      <c r="A2" s="3" t="s">
        <v>98</v>
      </c>
    </row>
    <row r="4">
      <c r="A4" s="22" t="s">
        <v>99</v>
      </c>
      <c r="B4" s="24">
        <f>B22</f>
        <v>6940000</v>
      </c>
      <c r="C4" s="50" t="s">
        <v>102</v>
      </c>
      <c r="D4" s="24">
        <f>C22</f>
        <v>0</v>
      </c>
      <c r="E4" s="52" t="s">
        <v>103</v>
      </c>
      <c r="F4" s="53">
        <f>D22</f>
        <v>6940000</v>
      </c>
      <c r="G4" s="22" t="s">
        <v>104</v>
      </c>
      <c r="H4" s="54">
        <f>IFERROR(C22/B22,0)</f>
        <v>0</v>
      </c>
    </row>
    <row r="7">
      <c r="A7" s="55" t="s">
        <v>40</v>
      </c>
      <c r="B7" s="55" t="s">
        <v>105</v>
      </c>
      <c r="C7" s="55" t="s">
        <v>106</v>
      </c>
      <c r="D7" s="55" t="s">
        <v>107</v>
      </c>
      <c r="E7" s="55" t="s">
        <v>63</v>
      </c>
      <c r="F7" s="55" t="s">
        <v>108</v>
      </c>
      <c r="G7" s="55" t="s">
        <v>109</v>
      </c>
      <c r="I7" s="56" t="s">
        <v>110</v>
      </c>
    </row>
    <row r="8">
      <c r="A8" s="8" t="s">
        <v>111</v>
      </c>
      <c r="B8" s="13">
        <v>2900000.0</v>
      </c>
      <c r="C8" s="13">
        <f>IFERROR(ABS(SUMIFS('내역'!E:E,'내역'!C:C,"대출",'내역'!A:A,"&gt;="&amp;DATE('연간현황'!B3,4,1),'내역'!A:A,"&lt;="&amp;EOMONTH(DATE('연간현황'!B3,4,1),0))),0)</f>
        <v>0</v>
      </c>
      <c r="D8" s="13">
        <f t="shared" ref="D8:D21" si="1">B8-C8</f>
        <v>2900000</v>
      </c>
      <c r="E8" s="58">
        <f t="shared" ref="E8:E22" si="2">IFERROR(C8/B8,0)</f>
        <v>0</v>
      </c>
      <c r="F8" s="8" t="str">
        <f t="shared" ref="F8:F22" si="3">IF(E8&gt;=1,"초과",IF(E8&gt;=0.8,"주의","안정"))</f>
        <v>안정</v>
      </c>
      <c r="G8" s="8" t="str">
        <f t="shared" ref="G8:G22" si="4">REPT("█",ROUND(MIN(1,E8)*10,0))&amp;REPT("░",10-ROUND(MIN(1,E8)*10,0))</f>
        <v>░░░░░░░░░░</v>
      </c>
      <c r="I8" s="61" t="s">
        <v>112</v>
      </c>
      <c r="J8" s="61" t="s">
        <v>40</v>
      </c>
      <c r="K8" s="61" t="s">
        <v>63</v>
      </c>
      <c r="L8" s="61" t="s">
        <v>107</v>
      </c>
    </row>
    <row r="9">
      <c r="A9" s="8" t="s">
        <v>113</v>
      </c>
      <c r="B9" s="13">
        <v>550000.0</v>
      </c>
      <c r="C9" s="13">
        <f>IFERROR(ABS(SUMIFS('내역'!E:E,'내역'!C:C,"보험",'내역'!A:A,"&gt;="&amp;DATE('연간현황'!B3,4,1),'내역'!A:A,"&lt;="&amp;EOMONTH(DATE('연간현황'!B3,4,1),0))),0)</f>
        <v>0</v>
      </c>
      <c r="D9" s="13">
        <f t="shared" si="1"/>
        <v>550000</v>
      </c>
      <c r="E9" s="58">
        <f t="shared" si="2"/>
        <v>0</v>
      </c>
      <c r="F9" s="8" t="str">
        <f t="shared" si="3"/>
        <v>안정</v>
      </c>
      <c r="G9" s="8" t="str">
        <f t="shared" si="4"/>
        <v>░░░░░░░░░░</v>
      </c>
      <c r="I9" s="8">
        <v>1.0</v>
      </c>
      <c r="J9" s="8" t="str">
        <f t="array" ref="J9">INDEX($A$8:$A$21,MATCH(LARGE($E$8:$E$21,1),$E$8:$E$21,0))</f>
        <v>대출</v>
      </c>
      <c r="K9" s="14">
        <f>LARGE($E$8:$E$21,1)</f>
        <v>0</v>
      </c>
      <c r="L9" s="62">
        <f t="array" ref="L9">INDEX($D$8:$D$21,MATCH(LARGE($E$8:$E$21,1),$E$8:$E$21,0))</f>
        <v>2900000</v>
      </c>
    </row>
    <row r="10">
      <c r="A10" s="8" t="s">
        <v>114</v>
      </c>
      <c r="B10" s="13">
        <v>140000.0</v>
      </c>
      <c r="C10" s="13">
        <f>IFERROR(ABS(SUMIFS('내역'!E:E,'내역'!C:C,"통신비",'내역'!A:A,"&gt;="&amp;DATE('연간현황'!B3,4,1),'내역'!A:A,"&lt;="&amp;EOMONTH(DATE('연간현황'!B3,4,1),0))),0)</f>
        <v>0</v>
      </c>
      <c r="D10" s="13">
        <f t="shared" si="1"/>
        <v>140000</v>
      </c>
      <c r="E10" s="58">
        <f t="shared" si="2"/>
        <v>0</v>
      </c>
      <c r="F10" s="8" t="str">
        <f t="shared" si="3"/>
        <v>안정</v>
      </c>
      <c r="G10" s="8" t="str">
        <f t="shared" si="4"/>
        <v>░░░░░░░░░░</v>
      </c>
      <c r="I10" s="8">
        <v>2.0</v>
      </c>
      <c r="J10" s="8" t="str">
        <f t="array" ref="J10">INDEX($A$8:$A$21,MATCH(LARGE($E$8:$E$21,2),$E$8:$E$21,0))</f>
        <v>대출</v>
      </c>
      <c r="K10" s="14">
        <f>LARGE($E$8:$E$21,2)</f>
        <v>0</v>
      </c>
      <c r="L10" s="62">
        <f t="array" ref="L10">INDEX($D$8:$D$21,MATCH(LARGE($E$8:$E$21,2),$E$8:$E$21,0))</f>
        <v>2900000</v>
      </c>
    </row>
    <row r="11">
      <c r="A11" s="8" t="s">
        <v>116</v>
      </c>
      <c r="B11" s="13">
        <v>210000.0</v>
      </c>
      <c r="C11" s="13">
        <f>IFERROR(ABS(SUMIFS('내역'!E:E,'내역'!C:C,"주거비",'내역'!A:A,"&gt;="&amp;DATE('연간현황'!B3,4,1),'내역'!A:A,"&lt;="&amp;EOMONTH(DATE('연간현황'!B3,4,1),0))),0)</f>
        <v>0</v>
      </c>
      <c r="D11" s="13">
        <f t="shared" si="1"/>
        <v>210000</v>
      </c>
      <c r="E11" s="58">
        <f t="shared" si="2"/>
        <v>0</v>
      </c>
      <c r="F11" s="8" t="str">
        <f t="shared" si="3"/>
        <v>안정</v>
      </c>
      <c r="G11" s="8" t="str">
        <f t="shared" si="4"/>
        <v>░░░░░░░░░░</v>
      </c>
      <c r="I11" s="8">
        <v>3.0</v>
      </c>
      <c r="J11" s="8" t="str">
        <f t="array" ref="J11">INDEX($A$8:$A$21,MATCH(LARGE($E$8:$E$21,3),$E$8:$E$21,0))</f>
        <v>대출</v>
      </c>
      <c r="K11" s="14">
        <f>LARGE($E$8:$E$21,3)</f>
        <v>0</v>
      </c>
      <c r="L11" s="62">
        <f t="array" ref="L11">INDEX($D$8:$D$21,MATCH(LARGE($E$8:$E$21,3),$E$8:$E$21,0))</f>
        <v>2900000</v>
      </c>
    </row>
    <row r="12">
      <c r="A12" s="8" t="s">
        <v>117</v>
      </c>
      <c r="B12" s="13">
        <v>260000.0</v>
      </c>
      <c r="C12" s="13">
        <f>IFERROR(ABS(SUMIFS('내역'!E:E,'내역'!C:C,"생활고정비",'내역'!A:A,"&gt;="&amp;DATE('연간현황'!B3,4,1),'내역'!A:A,"&lt;="&amp;EOMONTH(DATE('연간현황'!B3,4,1),0))),0)</f>
        <v>0</v>
      </c>
      <c r="D12" s="13">
        <f t="shared" si="1"/>
        <v>260000</v>
      </c>
      <c r="E12" s="58">
        <f t="shared" si="2"/>
        <v>0</v>
      </c>
      <c r="F12" s="8" t="str">
        <f t="shared" si="3"/>
        <v>안정</v>
      </c>
      <c r="G12" s="8" t="str">
        <f t="shared" si="4"/>
        <v>░░░░░░░░░░</v>
      </c>
    </row>
    <row r="13">
      <c r="A13" s="8" t="s">
        <v>118</v>
      </c>
      <c r="B13" s="13">
        <v>580000.0</v>
      </c>
      <c r="C13" s="13">
        <f>IFERROR(ABS(SUMIFS('내역'!E:E,'내역'!C:C,"금융고정비",'내역'!A:A,"&gt;="&amp;DATE('연간현황'!B3,4,1),'내역'!A:A,"&lt;="&amp;EOMONTH(DATE('연간현황'!B3,4,1),0))),0)</f>
        <v>0</v>
      </c>
      <c r="D13" s="13">
        <f t="shared" si="1"/>
        <v>580000</v>
      </c>
      <c r="E13" s="58">
        <f t="shared" si="2"/>
        <v>0</v>
      </c>
      <c r="F13" s="8" t="str">
        <f t="shared" si="3"/>
        <v>안정</v>
      </c>
      <c r="G13" s="8" t="str">
        <f t="shared" si="4"/>
        <v>░░░░░░░░░░</v>
      </c>
      <c r="I13" s="10" t="s">
        <v>11</v>
      </c>
    </row>
    <row r="14">
      <c r="A14" s="8" t="s">
        <v>119</v>
      </c>
      <c r="B14" s="13">
        <v>150000.0</v>
      </c>
      <c r="C14" s="13">
        <f>IFERROR(ABS(SUMIFS('내역'!E:E,'내역'!C:C,"교통",'내역'!A:A,"&gt;="&amp;DATE('연간현황'!B3,4,1),'내역'!A:A,"&lt;="&amp;EOMONTH(DATE('연간현황'!B3,4,1),0))),0)</f>
        <v>0</v>
      </c>
      <c r="D14" s="13">
        <f t="shared" si="1"/>
        <v>150000</v>
      </c>
      <c r="E14" s="58">
        <f t="shared" si="2"/>
        <v>0</v>
      </c>
      <c r="F14" s="8" t="str">
        <f t="shared" si="3"/>
        <v>안정</v>
      </c>
      <c r="G14" s="8" t="str">
        <f t="shared" si="4"/>
        <v>░░░░░░░░░░</v>
      </c>
      <c r="I14" s="12" t="s">
        <v>121</v>
      </c>
    </row>
    <row r="15">
      <c r="A15" s="8" t="s">
        <v>122</v>
      </c>
      <c r="B15" s="13">
        <v>800000.0</v>
      </c>
      <c r="C15" s="13">
        <f>IFERROR(ABS(SUMIFS('내역'!E:E,'내역'!C:C,"식비",'내역'!A:A,"&gt;="&amp;DATE('연간현황'!B3,4,1),'내역'!A:A,"&lt;="&amp;EOMONTH(DATE('연간현황'!B3,4,1),0))),0)</f>
        <v>0</v>
      </c>
      <c r="D15" s="13">
        <f t="shared" si="1"/>
        <v>800000</v>
      </c>
      <c r="E15" s="58">
        <f t="shared" si="2"/>
        <v>0</v>
      </c>
      <c r="F15" s="8" t="str">
        <f t="shared" si="3"/>
        <v>안정</v>
      </c>
      <c r="G15" s="8" t="str">
        <f t="shared" si="4"/>
        <v>░░░░░░░░░░</v>
      </c>
      <c r="I15" s="12" t="s">
        <v>123</v>
      </c>
    </row>
    <row r="16">
      <c r="A16" s="8" t="s">
        <v>124</v>
      </c>
      <c r="B16" s="13">
        <v>300000.0</v>
      </c>
      <c r="C16" s="13">
        <f>IFERROR(ABS(SUMIFS('내역'!E:E,'내역'!C:C,"육아",'내역'!A:A,"&gt;="&amp;DATE('연간현황'!B3,4,1),'내역'!A:A,"&lt;="&amp;EOMONTH(DATE('연간현황'!B3,4,1),0))),0)</f>
        <v>0</v>
      </c>
      <c r="D16" s="13">
        <f t="shared" si="1"/>
        <v>300000</v>
      </c>
      <c r="E16" s="58">
        <f t="shared" si="2"/>
        <v>0</v>
      </c>
      <c r="F16" s="8" t="str">
        <f t="shared" si="3"/>
        <v>안정</v>
      </c>
      <c r="G16" s="8" t="str">
        <f t="shared" si="4"/>
        <v>░░░░░░░░░░</v>
      </c>
      <c r="I16" s="12" t="s">
        <v>125</v>
      </c>
    </row>
    <row r="17">
      <c r="A17" s="64" t="s">
        <v>126</v>
      </c>
      <c r="B17" s="65">
        <v>150000.0</v>
      </c>
      <c r="C17" s="13">
        <f>IFERROR(ABS(SUMIFS('내역'!E:E,'내역'!C:C,"의료비",'내역'!A:A,"&gt;="&amp;DATE('연간현황'!B3,4,1),'내역'!A:A,"&lt;="&amp;EOMONTH(DATE('연간현황'!B3,4,1),0))),0)</f>
        <v>0</v>
      </c>
      <c r="D17" s="13">
        <f t="shared" si="1"/>
        <v>150000</v>
      </c>
      <c r="E17" s="58">
        <f t="shared" si="2"/>
        <v>0</v>
      </c>
      <c r="F17" s="8" t="str">
        <f t="shared" si="3"/>
        <v>안정</v>
      </c>
      <c r="G17" s="8" t="str">
        <f t="shared" si="4"/>
        <v>░░░░░░░░░░</v>
      </c>
      <c r="I17" s="12" t="s">
        <v>127</v>
      </c>
    </row>
    <row r="18">
      <c r="A18" s="8" t="s">
        <v>128</v>
      </c>
      <c r="B18" s="13">
        <v>300000.0</v>
      </c>
      <c r="C18" s="13">
        <f>IFERROR(ABS(SUMIFS('내역'!E:E,'내역'!C:C,"기타생활비",'내역'!A:A,"&gt;="&amp;DATE('연간현황'!B3,4,1),'내역'!A:A,"&lt;="&amp;EOMONTH(DATE('연간현황'!B3,4,1),0))),0)</f>
        <v>0</v>
      </c>
      <c r="D18" s="13">
        <f t="shared" si="1"/>
        <v>300000</v>
      </c>
      <c r="E18" s="58">
        <f t="shared" si="2"/>
        <v>0</v>
      </c>
      <c r="F18" s="8" t="str">
        <f t="shared" si="3"/>
        <v>안정</v>
      </c>
      <c r="G18" s="8" t="str">
        <f t="shared" si="4"/>
        <v>░░░░░░░░░░</v>
      </c>
    </row>
    <row r="19">
      <c r="A19" s="8" t="s">
        <v>129</v>
      </c>
      <c r="B19" s="13">
        <v>100000.0</v>
      </c>
      <c r="C19" s="13">
        <f>IFERROR(ABS(SUMIFS('내역'!E:E,'내역'!C:C,"이벤트",'내역'!A:A,"&gt;="&amp;DATE('연간현황'!B3,4,1),'내역'!A:A,"&lt;="&amp;EOMONTH(DATE('연간현황'!B3,4,1),0))),0)</f>
        <v>0</v>
      </c>
      <c r="D19" s="13">
        <f t="shared" si="1"/>
        <v>100000</v>
      </c>
      <c r="E19" s="58">
        <f t="shared" si="2"/>
        <v>0</v>
      </c>
      <c r="F19" s="8" t="str">
        <f t="shared" si="3"/>
        <v>안정</v>
      </c>
      <c r="G19" s="8" t="str">
        <f t="shared" si="4"/>
        <v>░░░░░░░░░░</v>
      </c>
    </row>
    <row r="20">
      <c r="A20" s="8" t="s">
        <v>130</v>
      </c>
      <c r="B20" s="13">
        <v>250000.0</v>
      </c>
      <c r="C20" s="13">
        <f>IFERROR(ABS(SUMIFS('내역'!E:E,'내역'!C:C,"기석용돈",'내역'!A:A,"&gt;="&amp;DATE('연간현황'!B3,4,1),'내역'!A:A,"&lt;="&amp;EOMONTH(DATE('연간현황'!B3,4,1),0))),0)</f>
        <v>0</v>
      </c>
      <c r="D20" s="13">
        <f t="shared" si="1"/>
        <v>250000</v>
      </c>
      <c r="E20" s="58">
        <f t="shared" si="2"/>
        <v>0</v>
      </c>
      <c r="F20" s="8" t="str">
        <f t="shared" si="3"/>
        <v>안정</v>
      </c>
      <c r="G20" s="8" t="str">
        <f t="shared" si="4"/>
        <v>░░░░░░░░░░</v>
      </c>
    </row>
    <row r="21">
      <c r="A21" s="8" t="s">
        <v>131</v>
      </c>
      <c r="B21" s="13">
        <v>250000.0</v>
      </c>
      <c r="C21" s="13">
        <f>IFERROR(ABS(SUMIFS('내역'!E:E,'내역'!C:C,"승주용돈",'내역'!A:A,"&gt;="&amp;DATE('연간현황'!B3,4,1),'내역'!A:A,"&lt;="&amp;EOMONTH(DATE('연간현황'!B3,4,1),0))),0)</f>
        <v>0</v>
      </c>
      <c r="D21" s="13">
        <f t="shared" si="1"/>
        <v>250000</v>
      </c>
      <c r="E21" s="58">
        <f t="shared" si="2"/>
        <v>0</v>
      </c>
      <c r="F21" s="8" t="str">
        <f t="shared" si="3"/>
        <v>안정</v>
      </c>
      <c r="G21" s="8" t="str">
        <f t="shared" si="4"/>
        <v>░░░░░░░░░░</v>
      </c>
    </row>
    <row r="22" ht="15.75" customHeight="1">
      <c r="A22" s="66" t="s">
        <v>115</v>
      </c>
      <c r="B22" s="67">
        <f t="shared" ref="B22:D22" si="5">SUM(B8:B21)</f>
        <v>6940000</v>
      </c>
      <c r="C22" s="67">
        <f t="shared" si="5"/>
        <v>0</v>
      </c>
      <c r="D22" s="67">
        <f t="shared" si="5"/>
        <v>6940000</v>
      </c>
      <c r="E22" s="68">
        <f t="shared" si="2"/>
        <v>0</v>
      </c>
      <c r="F22" s="66" t="str">
        <f t="shared" si="3"/>
        <v>안정</v>
      </c>
      <c r="G22" s="66" t="str">
        <f t="shared" si="4"/>
        <v>░░░░░░░░░░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D8:D22">
    <cfRule type="cellIs" dxfId="0" priority="1" operator="lessThan">
      <formula>0</formula>
    </cfRule>
  </conditionalFormatting>
  <conditionalFormatting sqref="D8:D22">
    <cfRule type="cellIs" dxfId="1" priority="2" operator="greaterThanOrEqual">
      <formula>0</formula>
    </cfRule>
  </conditionalFormatting>
  <conditionalFormatting sqref="D8:D22">
    <cfRule type="cellIs" dxfId="2" priority="3" operator="lessThan">
      <formula>0</formula>
    </cfRule>
  </conditionalFormatting>
  <conditionalFormatting sqref="F8:F22">
    <cfRule type="expression" dxfId="0" priority="4">
      <formula>$F8="초과"</formula>
    </cfRule>
  </conditionalFormatting>
  <conditionalFormatting sqref="F8:F22">
    <cfRule type="expression" dxfId="3" priority="5">
      <formula>$F8="주의"</formula>
    </cfRule>
  </conditionalFormatting>
  <conditionalFormatting sqref="F8:F22">
    <cfRule type="expression" dxfId="1" priority="6">
      <formula>$F8="안정"</formula>
    </cfRule>
  </conditionalFormatting>
  <conditionalFormatting sqref="F8:F22">
    <cfRule type="cellIs" dxfId="2" priority="7" operator="equal">
      <formula>"초과"</formula>
    </cfRule>
  </conditionalFormatting>
  <conditionalFormatting sqref="F8:F22">
    <cfRule type="cellIs" dxfId="0" priority="8" operator="equal">
      <formula>"주의"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ADCC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4.0"/>
    <col customWidth="1" min="5" max="5" width="11.0"/>
    <col customWidth="1" min="6" max="6" width="12.86"/>
    <col customWidth="1" min="7" max="7" width="22.14"/>
    <col customWidth="1" min="8" max="8" width="5.71"/>
    <col customWidth="1" min="9" max="12" width="18.0"/>
    <col customWidth="1" min="13" max="26" width="8.71"/>
  </cols>
  <sheetData>
    <row r="1">
      <c r="A1" s="7" t="s">
        <v>133</v>
      </c>
    </row>
    <row r="2">
      <c r="A2" s="3" t="s">
        <v>98</v>
      </c>
    </row>
    <row r="4">
      <c r="A4" s="22" t="s">
        <v>99</v>
      </c>
      <c r="B4" s="24">
        <f>B22</f>
        <v>6940000</v>
      </c>
      <c r="C4" s="50" t="s">
        <v>102</v>
      </c>
      <c r="D4" s="24">
        <f>C22</f>
        <v>5285894</v>
      </c>
      <c r="E4" s="52" t="s">
        <v>103</v>
      </c>
      <c r="F4" s="53">
        <f>D22</f>
        <v>1654106</v>
      </c>
      <c r="G4" s="22" t="s">
        <v>104</v>
      </c>
      <c r="H4" s="54">
        <f>IFERROR(C22/B22,0)</f>
        <v>0.761656196</v>
      </c>
    </row>
    <row r="7">
      <c r="A7" s="55" t="s">
        <v>40</v>
      </c>
      <c r="B7" s="55" t="s">
        <v>105</v>
      </c>
      <c r="C7" s="55" t="s">
        <v>106</v>
      </c>
      <c r="D7" s="55" t="s">
        <v>107</v>
      </c>
      <c r="E7" s="55" t="s">
        <v>63</v>
      </c>
      <c r="F7" s="55" t="s">
        <v>108</v>
      </c>
      <c r="G7" s="55" t="s">
        <v>109</v>
      </c>
      <c r="I7" s="56" t="s">
        <v>110</v>
      </c>
    </row>
    <row r="8">
      <c r="A8" s="8" t="s">
        <v>111</v>
      </c>
      <c r="B8" s="13">
        <v>2900000.0</v>
      </c>
      <c r="C8" s="13">
        <f>IFERROR(ABS(SUMIFS('내역'!E:E,'내역'!C:C,"대출",'내역'!A:A,"&gt;="&amp;DATE('연간현황'!B3,5,1),'내역'!A:A,"&lt;="&amp;EOMONTH(DATE('연간현황'!B3,5,1),0))),0)</f>
        <v>1203242</v>
      </c>
      <c r="D8" s="13">
        <f t="shared" ref="D8:D21" si="1">B8-C8</f>
        <v>1696758</v>
      </c>
      <c r="E8" s="58">
        <f t="shared" ref="E8:E22" si="2">IFERROR(C8/B8,0)</f>
        <v>0.4149110345</v>
      </c>
      <c r="F8" s="8" t="str">
        <f t="shared" ref="F8:F22" si="3">IF(E8&gt;=1,"초과",IF(E8&gt;=0.8,"주의","안정"))</f>
        <v>안정</v>
      </c>
      <c r="G8" s="8" t="str">
        <f t="shared" ref="G8:G22" si="4">REPT("█",ROUND(MIN(1,E8)*10,0))&amp;REPT("░",10-ROUND(MIN(1,E8)*10,0))</f>
        <v>████░░░░░░</v>
      </c>
      <c r="I8" s="61" t="s">
        <v>112</v>
      </c>
      <c r="J8" s="61" t="s">
        <v>40</v>
      </c>
      <c r="K8" s="61" t="s">
        <v>63</v>
      </c>
      <c r="L8" s="61" t="s">
        <v>107</v>
      </c>
    </row>
    <row r="9">
      <c r="A9" s="8" t="s">
        <v>113</v>
      </c>
      <c r="B9" s="13">
        <v>550000.0</v>
      </c>
      <c r="C9" s="13">
        <f>IFERROR(ABS(SUMIFS('내역'!E:E,'내역'!C:C,"보험",'내역'!A:A,"&gt;="&amp;DATE('연간현황'!B3,5,1),'내역'!A:A,"&lt;="&amp;EOMONTH(DATE('연간현황'!B3,5,1),0))),0)</f>
        <v>396911</v>
      </c>
      <c r="D9" s="13">
        <f t="shared" si="1"/>
        <v>153089</v>
      </c>
      <c r="E9" s="58">
        <f t="shared" si="2"/>
        <v>0.7216563636</v>
      </c>
      <c r="F9" s="8" t="str">
        <f t="shared" si="3"/>
        <v>안정</v>
      </c>
      <c r="G9" s="8" t="str">
        <f t="shared" si="4"/>
        <v>███████░░░</v>
      </c>
      <c r="I9" s="8">
        <v>1.0</v>
      </c>
      <c r="J9" s="8" t="str">
        <f t="array" ref="J9">INDEX($A$8:$A$21,MATCH(LARGE($E$8:$E$21,1),$E$8:$E$21,0))</f>
        <v>이벤트</v>
      </c>
      <c r="K9" s="14">
        <f>LARGE($E$8:$E$21,1)</f>
        <v>2.67499</v>
      </c>
      <c r="L9" s="62">
        <f t="array" ref="L9">INDEX($D$8:$D$21,MATCH(LARGE($E$8:$E$21,1),$E$8:$E$21,0))</f>
        <v>-167499</v>
      </c>
    </row>
    <row r="10">
      <c r="A10" s="8" t="s">
        <v>114</v>
      </c>
      <c r="B10" s="13">
        <v>140000.0</v>
      </c>
      <c r="C10" s="13">
        <f>IFERROR(ABS(SUMIFS('내역'!E:E,'내역'!C:C,"통신비",'내역'!A:A,"&gt;="&amp;DATE('연간현황'!B3,5,1),'내역'!A:A,"&lt;="&amp;EOMONTH(DATE('연간현황'!B3,5,1),0))),0)</f>
        <v>159530</v>
      </c>
      <c r="D10" s="13">
        <f t="shared" si="1"/>
        <v>-19530</v>
      </c>
      <c r="E10" s="58">
        <f t="shared" si="2"/>
        <v>1.1395</v>
      </c>
      <c r="F10" s="8" t="str">
        <f t="shared" si="3"/>
        <v>초과</v>
      </c>
      <c r="G10" s="8" t="str">
        <f t="shared" si="4"/>
        <v>██████████</v>
      </c>
      <c r="I10" s="8">
        <v>2.0</v>
      </c>
      <c r="J10" s="8" t="str">
        <f t="array" ref="J10">INDEX($A$8:$A$21,MATCH(LARGE($E$8:$E$21,2),$E$8:$E$21,0))</f>
        <v>육아</v>
      </c>
      <c r="K10" s="14">
        <f>LARGE($E$8:$E$21,2)</f>
        <v>2.454963333</v>
      </c>
      <c r="L10" s="62">
        <f t="array" ref="L10">INDEX($D$8:$D$21,MATCH(LARGE($E$8:$E$21,2),$E$8:$E$21,0))</f>
        <v>-436489</v>
      </c>
    </row>
    <row r="11">
      <c r="A11" s="8" t="s">
        <v>116</v>
      </c>
      <c r="B11" s="13">
        <v>210000.0</v>
      </c>
      <c r="C11" s="13">
        <f>IFERROR(ABS(SUMIFS('내역'!E:E,'내역'!C:C,"주거비",'내역'!A:A,"&gt;="&amp;DATE('연간현황'!B3,5,1),'내역'!A:A,"&lt;="&amp;EOMONTH(DATE('연간현황'!B3,5,1),0))),0)</f>
        <v>199150</v>
      </c>
      <c r="D11" s="13">
        <f t="shared" si="1"/>
        <v>10850</v>
      </c>
      <c r="E11" s="58">
        <f t="shared" si="2"/>
        <v>0.9483333333</v>
      </c>
      <c r="F11" s="8" t="str">
        <f t="shared" si="3"/>
        <v>주의</v>
      </c>
      <c r="G11" s="8" t="str">
        <f t="shared" si="4"/>
        <v>█████████░</v>
      </c>
      <c r="I11" s="8">
        <v>3.0</v>
      </c>
      <c r="J11" s="8" t="str">
        <f t="array" ref="J11">INDEX($A$8:$A$21,MATCH(LARGE($E$8:$E$21,3),$E$8:$E$21,0))</f>
        <v>식비</v>
      </c>
      <c r="K11" s="14">
        <f>LARGE($E$8:$E$21,3)</f>
        <v>1.17525375</v>
      </c>
      <c r="L11" s="62">
        <f t="array" ref="L11">INDEX($D$8:$D$21,MATCH(LARGE($E$8:$E$21,3),$E$8:$E$21,0))</f>
        <v>-140203</v>
      </c>
    </row>
    <row r="12">
      <c r="A12" s="8" t="s">
        <v>117</v>
      </c>
      <c r="B12" s="13">
        <v>260000.0</v>
      </c>
      <c r="C12" s="13">
        <f>IFERROR(ABS(SUMIFS('내역'!E:E,'내역'!C:C,"생활고정비",'내역'!A:A,"&gt;="&amp;DATE('연간현황'!B3,5,1),'내역'!A:A,"&lt;="&amp;EOMONTH(DATE('연간현황'!B3,5,1),0))),0)</f>
        <v>202190</v>
      </c>
      <c r="D12" s="13">
        <f t="shared" si="1"/>
        <v>57810</v>
      </c>
      <c r="E12" s="58">
        <f t="shared" si="2"/>
        <v>0.7776538462</v>
      </c>
      <c r="F12" s="8" t="str">
        <f t="shared" si="3"/>
        <v>안정</v>
      </c>
      <c r="G12" s="8" t="str">
        <f t="shared" si="4"/>
        <v>████████░░</v>
      </c>
    </row>
    <row r="13">
      <c r="A13" s="8" t="s">
        <v>118</v>
      </c>
      <c r="B13" s="13">
        <v>580000.0</v>
      </c>
      <c r="C13" s="13">
        <f>IFERROR(ABS(SUMIFS('내역'!E:E,'내역'!C:C,"금융고정비",'내역'!A:A,"&gt;="&amp;DATE('연간현황'!B3,5,1),'내역'!A:A,"&lt;="&amp;EOMONTH(DATE('연간현황'!B3,5,1),0))),0)</f>
        <v>580300</v>
      </c>
      <c r="D13" s="13">
        <f t="shared" si="1"/>
        <v>-300</v>
      </c>
      <c r="E13" s="58">
        <f t="shared" si="2"/>
        <v>1.000517241</v>
      </c>
      <c r="F13" s="8" t="str">
        <f t="shared" si="3"/>
        <v>초과</v>
      </c>
      <c r="G13" s="8" t="str">
        <f t="shared" si="4"/>
        <v>██████████</v>
      </c>
      <c r="I13" s="10" t="s">
        <v>11</v>
      </c>
    </row>
    <row r="14">
      <c r="A14" s="8" t="s">
        <v>119</v>
      </c>
      <c r="B14" s="13">
        <v>150000.0</v>
      </c>
      <c r="C14" s="13">
        <f>IFERROR(ABS(SUMIFS('내역'!E:E,'내역'!C:C,"교통",'내역'!A:A,"&gt;="&amp;DATE('연간현황'!B3,5,1),'내역'!A:A,"&lt;="&amp;EOMONTH(DATE('연간현황'!B3,5,1),0))),0)</f>
        <v>137100</v>
      </c>
      <c r="D14" s="13">
        <f t="shared" si="1"/>
        <v>12900</v>
      </c>
      <c r="E14" s="58">
        <f t="shared" si="2"/>
        <v>0.914</v>
      </c>
      <c r="F14" s="8" t="str">
        <f t="shared" si="3"/>
        <v>주의</v>
      </c>
      <c r="G14" s="8" t="str">
        <f t="shared" si="4"/>
        <v>█████████░</v>
      </c>
      <c r="I14" s="12" t="s">
        <v>121</v>
      </c>
    </row>
    <row r="15">
      <c r="A15" s="8" t="s">
        <v>122</v>
      </c>
      <c r="B15" s="13">
        <v>800000.0</v>
      </c>
      <c r="C15" s="13">
        <f>IFERROR(ABS(SUMIFS('내역'!E:E,'내역'!C:C,"식비",'내역'!A:A,"&gt;="&amp;DATE('연간현황'!B3,5,1),'내역'!A:A,"&lt;="&amp;EOMONTH(DATE('연간현황'!B3,5,1),0))),0)</f>
        <v>940203</v>
      </c>
      <c r="D15" s="13">
        <f t="shared" si="1"/>
        <v>-140203</v>
      </c>
      <c r="E15" s="58">
        <f t="shared" si="2"/>
        <v>1.17525375</v>
      </c>
      <c r="F15" s="8" t="str">
        <f t="shared" si="3"/>
        <v>초과</v>
      </c>
      <c r="G15" s="8" t="str">
        <f t="shared" si="4"/>
        <v>██████████</v>
      </c>
      <c r="I15" s="12" t="s">
        <v>123</v>
      </c>
    </row>
    <row r="16">
      <c r="A16" s="8" t="s">
        <v>124</v>
      </c>
      <c r="B16" s="13">
        <v>300000.0</v>
      </c>
      <c r="C16" s="13">
        <f>IFERROR(ABS(SUMIFS('내역'!E:E,'내역'!C:C,"육아",'내역'!A:A,"&gt;="&amp;DATE('연간현황'!B3,5,1),'내역'!A:A,"&lt;="&amp;EOMONTH(DATE('연간현황'!B3,5,1),0))),0)</f>
        <v>736489</v>
      </c>
      <c r="D16" s="13">
        <f t="shared" si="1"/>
        <v>-436489</v>
      </c>
      <c r="E16" s="58">
        <f t="shared" si="2"/>
        <v>2.454963333</v>
      </c>
      <c r="F16" s="8" t="str">
        <f t="shared" si="3"/>
        <v>초과</v>
      </c>
      <c r="G16" s="8" t="str">
        <f t="shared" si="4"/>
        <v>██████████</v>
      </c>
      <c r="I16" s="12" t="s">
        <v>125</v>
      </c>
    </row>
    <row r="17">
      <c r="A17" s="64" t="s">
        <v>126</v>
      </c>
      <c r="B17" s="65">
        <v>150000.0</v>
      </c>
      <c r="C17" s="69">
        <f>MAX(0, IFERROR(ABS(SUMIFS('내역'!E:E,'내역'!C:C,"의료비",'내역'!A:A,"&gt;="&amp;DATE('연간현황'!B3,5,1),'내역'!A:A,"&lt;="&amp;EOMONTH(DATE('연간현황'!B3,5,1),0)))-ABS(SUMIFS('내역'!E:E,'내역'!C:C,"실비",'내역'!A:A,"&gt;="&amp;DATE('연간현황'!B3,5,1),'내역'!A:A,"&lt;="&amp;EOMONTH(DATE('연간현황'!B3,5,1),0))),0))</f>
        <v>0</v>
      </c>
      <c r="D17" s="13">
        <f t="shared" si="1"/>
        <v>150000</v>
      </c>
      <c r="E17" s="58">
        <f t="shared" si="2"/>
        <v>0</v>
      </c>
      <c r="F17" s="8" t="str">
        <f t="shared" si="3"/>
        <v>안정</v>
      </c>
      <c r="G17" s="8" t="str">
        <f t="shared" si="4"/>
        <v>░░░░░░░░░░</v>
      </c>
      <c r="I17" s="12" t="s">
        <v>127</v>
      </c>
    </row>
    <row r="18">
      <c r="A18" s="8" t="s">
        <v>128</v>
      </c>
      <c r="B18" s="13">
        <v>300000.0</v>
      </c>
      <c r="C18" s="13">
        <f>IFERROR(ABS(SUMIFS('내역'!E:E,'내역'!C:C,"기타생활비",'내역'!A:A,"&gt;="&amp;DATE('연간현황'!B3,5,1),'내역'!A:A,"&lt;="&amp;EOMONTH(DATE('연간현황'!B3,5,1),0))),0)</f>
        <v>143380</v>
      </c>
      <c r="D18" s="13">
        <f t="shared" si="1"/>
        <v>156620</v>
      </c>
      <c r="E18" s="58">
        <f t="shared" si="2"/>
        <v>0.4779333333</v>
      </c>
      <c r="F18" s="8" t="str">
        <f t="shared" si="3"/>
        <v>안정</v>
      </c>
      <c r="G18" s="8" t="str">
        <f t="shared" si="4"/>
        <v>█████░░░░░</v>
      </c>
    </row>
    <row r="19">
      <c r="A19" s="8" t="s">
        <v>129</v>
      </c>
      <c r="B19" s="13">
        <v>100000.0</v>
      </c>
      <c r="C19" s="13">
        <f>IFERROR(ABS(SUMIFS('내역'!E:E,'내역'!C:C,"이벤트",'내역'!A:A,"&gt;="&amp;DATE('연간현황'!B3,5,1),'내역'!A:A,"&lt;="&amp;EOMONTH(DATE('연간현황'!B3,5,1),0))),0)</f>
        <v>267499</v>
      </c>
      <c r="D19" s="13">
        <f t="shared" si="1"/>
        <v>-167499</v>
      </c>
      <c r="E19" s="58">
        <f t="shared" si="2"/>
        <v>2.67499</v>
      </c>
      <c r="F19" s="8" t="str">
        <f t="shared" si="3"/>
        <v>초과</v>
      </c>
      <c r="G19" s="8" t="str">
        <f t="shared" si="4"/>
        <v>██████████</v>
      </c>
    </row>
    <row r="20">
      <c r="A20" s="8" t="s">
        <v>130</v>
      </c>
      <c r="B20" s="13">
        <v>250000.0</v>
      </c>
      <c r="C20" s="13">
        <f>IFERROR(ABS(SUMIFS('내역'!E:E,'내역'!C:C,"기석용돈",'내역'!A:A,"&gt;="&amp;DATE('연간현황'!B3,5,1),'내역'!A:A,"&lt;="&amp;EOMONTH(DATE('연간현황'!B3,5,1),0))),0)</f>
        <v>196600</v>
      </c>
      <c r="D20" s="13">
        <f t="shared" si="1"/>
        <v>53400</v>
      </c>
      <c r="E20" s="58">
        <f t="shared" si="2"/>
        <v>0.7864</v>
      </c>
      <c r="F20" s="8" t="str">
        <f t="shared" si="3"/>
        <v>안정</v>
      </c>
      <c r="G20" s="8" t="str">
        <f t="shared" si="4"/>
        <v>████████░░</v>
      </c>
    </row>
    <row r="21">
      <c r="A21" s="8" t="s">
        <v>131</v>
      </c>
      <c r="B21" s="13">
        <v>250000.0</v>
      </c>
      <c r="C21" s="13">
        <f>IFERROR(ABS(SUMIFS('내역'!E:E,'내역'!C:C,"승주용돈",'내역'!A:A,"&gt;="&amp;DATE('연간현황'!B3,5,1),'내역'!A:A,"&lt;="&amp;EOMONTH(DATE('연간현황'!B3,5,1),0))),0)</f>
        <v>123300</v>
      </c>
      <c r="D21" s="13">
        <f t="shared" si="1"/>
        <v>126700</v>
      </c>
      <c r="E21" s="58">
        <f t="shared" si="2"/>
        <v>0.4932</v>
      </c>
      <c r="F21" s="8" t="str">
        <f t="shared" si="3"/>
        <v>안정</v>
      </c>
      <c r="G21" s="8" t="str">
        <f t="shared" si="4"/>
        <v>█████░░░░░</v>
      </c>
    </row>
    <row r="22" ht="15.75" customHeight="1">
      <c r="A22" s="66" t="s">
        <v>115</v>
      </c>
      <c r="B22" s="67">
        <f t="shared" ref="B22:D22" si="5">SUM(B8:B21)</f>
        <v>6940000</v>
      </c>
      <c r="C22" s="67">
        <f t="shared" si="5"/>
        <v>5285894</v>
      </c>
      <c r="D22" s="67">
        <f t="shared" si="5"/>
        <v>1654106</v>
      </c>
      <c r="E22" s="68">
        <f t="shared" si="2"/>
        <v>0.761656196</v>
      </c>
      <c r="F22" s="66" t="str">
        <f t="shared" si="3"/>
        <v>안정</v>
      </c>
      <c r="G22" s="66" t="str">
        <f t="shared" si="4"/>
        <v>████████░░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D8:D22">
    <cfRule type="cellIs" dxfId="0" priority="1" operator="lessThan">
      <formula>0</formula>
    </cfRule>
  </conditionalFormatting>
  <conditionalFormatting sqref="D8:D22">
    <cfRule type="cellIs" dxfId="1" priority="2" operator="greaterThanOrEqual">
      <formula>0</formula>
    </cfRule>
  </conditionalFormatting>
  <conditionalFormatting sqref="D8:D22">
    <cfRule type="cellIs" dxfId="2" priority="3" operator="lessThan">
      <formula>0</formula>
    </cfRule>
  </conditionalFormatting>
  <conditionalFormatting sqref="F8:F22">
    <cfRule type="expression" dxfId="0" priority="4">
      <formula>$F8="초과"</formula>
    </cfRule>
  </conditionalFormatting>
  <conditionalFormatting sqref="F8:F22">
    <cfRule type="expression" dxfId="3" priority="5">
      <formula>$F8="주의"</formula>
    </cfRule>
  </conditionalFormatting>
  <conditionalFormatting sqref="F8:F22">
    <cfRule type="expression" dxfId="1" priority="6">
      <formula>$F8="안정"</formula>
    </cfRule>
  </conditionalFormatting>
  <conditionalFormatting sqref="F8:F22">
    <cfRule type="cellIs" dxfId="2" priority="7" operator="equal">
      <formula>"초과"</formula>
    </cfRule>
  </conditionalFormatting>
  <conditionalFormatting sqref="F8:F22">
    <cfRule type="cellIs" dxfId="0" priority="8" operator="equal">
      <formula>"주의"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ADCC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4.0"/>
    <col customWidth="1" min="5" max="5" width="11.0"/>
    <col customWidth="1" min="6" max="6" width="10.0"/>
    <col customWidth="1" min="7" max="7" width="18.0"/>
    <col customWidth="1" min="8" max="8" width="3.0"/>
    <col customWidth="1" min="9" max="12" width="18.0"/>
    <col customWidth="1" min="13" max="26" width="8.71"/>
  </cols>
  <sheetData>
    <row r="1">
      <c r="A1" s="7" t="s">
        <v>134</v>
      </c>
    </row>
    <row r="2">
      <c r="A2" s="3" t="s">
        <v>98</v>
      </c>
    </row>
    <row r="4">
      <c r="A4" s="22" t="s">
        <v>99</v>
      </c>
      <c r="B4" s="24">
        <f>B22</f>
        <v>6780000</v>
      </c>
      <c r="C4" s="50" t="s">
        <v>102</v>
      </c>
      <c r="D4" s="24">
        <f>C22</f>
        <v>5901764</v>
      </c>
      <c r="E4" s="52" t="s">
        <v>103</v>
      </c>
      <c r="F4" s="53">
        <f>D22</f>
        <v>878236</v>
      </c>
      <c r="G4" s="22" t="s">
        <v>104</v>
      </c>
      <c r="H4" s="54">
        <f>IFERROR(C22/B22,0)</f>
        <v>0.8704666667</v>
      </c>
    </row>
    <row r="7">
      <c r="A7" s="55" t="s">
        <v>40</v>
      </c>
      <c r="B7" s="55" t="s">
        <v>105</v>
      </c>
      <c r="C7" s="55" t="s">
        <v>106</v>
      </c>
      <c r="D7" s="55" t="s">
        <v>107</v>
      </c>
      <c r="E7" s="55" t="s">
        <v>63</v>
      </c>
      <c r="F7" s="55" t="s">
        <v>108</v>
      </c>
      <c r="G7" s="55" t="s">
        <v>109</v>
      </c>
      <c r="I7" s="56" t="s">
        <v>110</v>
      </c>
    </row>
    <row r="8">
      <c r="A8" s="8" t="s">
        <v>111</v>
      </c>
      <c r="B8" s="13">
        <v>2900000.0</v>
      </c>
      <c r="C8" s="13">
        <f>IFERROR(ABS(SUMIFS('내역'!E:E,'내역'!C:C,"대출",'내역'!A:A,"&gt;="&amp;DATE('연간현황'!B3,6,1),'내역'!A:A,"&lt;="&amp;EOMONTH(DATE('연간현황'!B3,6,1),0))),0)</f>
        <v>1192505</v>
      </c>
      <c r="D8" s="13">
        <f t="shared" ref="D8:D21" si="1">B8-C8</f>
        <v>1707495</v>
      </c>
      <c r="E8" s="58">
        <f t="shared" ref="E8:E22" si="2">IFERROR(C8/B8,0)</f>
        <v>0.4112086207</v>
      </c>
      <c r="F8" s="8" t="str">
        <f t="shared" ref="F8:F22" si="3">IF(E8&gt;=1,"초과",IF(E8&gt;=0.8,"주의","안정"))</f>
        <v>안정</v>
      </c>
      <c r="G8" s="8" t="str">
        <f t="shared" ref="G8:G22" si="4">REPT("█",ROUND(MIN(1,E8)*10,0))&amp;REPT("░",10-ROUND(MIN(1,E8)*10,0))</f>
        <v>████░░░░░░</v>
      </c>
      <c r="I8" s="61" t="s">
        <v>112</v>
      </c>
      <c r="J8" s="61" t="s">
        <v>40</v>
      </c>
      <c r="K8" s="61" t="s">
        <v>63</v>
      </c>
      <c r="L8" s="61" t="s">
        <v>107</v>
      </c>
    </row>
    <row r="9">
      <c r="A9" s="8" t="s">
        <v>113</v>
      </c>
      <c r="B9" s="13">
        <v>550000.0</v>
      </c>
      <c r="C9" s="13">
        <f>IFERROR(ABS(SUMIFS('내역'!E:E,'내역'!C:C,"보험",'내역'!A:A,"&gt;="&amp;DATE('연간현황'!B3,6,1),'내역'!A:A,"&lt;="&amp;EOMONTH(DATE('연간현황'!B3,6,1),0))),0)</f>
        <v>598295</v>
      </c>
      <c r="D9" s="13">
        <f t="shared" si="1"/>
        <v>-48295</v>
      </c>
      <c r="E9" s="58">
        <f t="shared" si="2"/>
        <v>1.087809091</v>
      </c>
      <c r="F9" s="8" t="str">
        <f t="shared" si="3"/>
        <v>초과</v>
      </c>
      <c r="G9" s="8" t="str">
        <f t="shared" si="4"/>
        <v>██████████</v>
      </c>
      <c r="I9" s="8">
        <v>1.0</v>
      </c>
      <c r="J9" s="8" t="str">
        <f t="array" ref="J9">INDEX($A$8:$A$21,MATCH(LARGE($E$8:$E$21,1),$E$8:$E$21,0))</f>
        <v>이벤트</v>
      </c>
      <c r="K9" s="14">
        <f>LARGE($E$8:$E$21,1)</f>
        <v>2.773</v>
      </c>
      <c r="L9" s="62">
        <f t="array" ref="L9">INDEX($D$8:$D$21,MATCH(LARGE($E$8:$E$21,1),$E$8:$E$21,0))</f>
        <v>-177300</v>
      </c>
    </row>
    <row r="10">
      <c r="A10" s="8" t="s">
        <v>114</v>
      </c>
      <c r="B10" s="13">
        <v>140000.0</v>
      </c>
      <c r="C10" s="13">
        <f>IFERROR(ABS(SUMIFS('내역'!E:E,'내역'!C:C,"통신비",'내역'!A:A,"&gt;="&amp;DATE('연간현황'!B3,6,1),'내역'!A:A,"&lt;="&amp;EOMONTH(DATE('연간현황'!B3,6,1),0))),0)</f>
        <v>146940</v>
      </c>
      <c r="D10" s="13">
        <f t="shared" si="1"/>
        <v>-6940</v>
      </c>
      <c r="E10" s="58">
        <f t="shared" si="2"/>
        <v>1.049571429</v>
      </c>
      <c r="F10" s="8" t="str">
        <f t="shared" si="3"/>
        <v>초과</v>
      </c>
      <c r="G10" s="8" t="str">
        <f t="shared" si="4"/>
        <v>██████████</v>
      </c>
      <c r="I10" s="8">
        <v>2.0</v>
      </c>
      <c r="J10" s="8" t="str">
        <f t="array" ref="J10">INDEX($A$8:$A$21,MATCH(LARGE($E$8:$E$21,2),$E$8:$E$21,0))</f>
        <v>의료비</v>
      </c>
      <c r="K10" s="14">
        <f>LARGE($E$8:$E$21,2)</f>
        <v>2.314073333</v>
      </c>
      <c r="L10" s="62">
        <f t="array" ref="L10">INDEX($D$8:$D$21,MATCH(LARGE($E$8:$E$21,2),$E$8:$E$21,0))</f>
        <v>-197111</v>
      </c>
    </row>
    <row r="11">
      <c r="A11" s="8" t="s">
        <v>116</v>
      </c>
      <c r="B11" s="13">
        <v>210000.0</v>
      </c>
      <c r="C11" s="13">
        <f>IFERROR(ABS(SUMIFS('내역'!E:E,'내역'!C:C,"주거비",'내역'!A:A,"&gt;="&amp;DATE('연간현황'!B3,6,1),'내역'!A:A,"&lt;="&amp;EOMONTH(DATE('연간현황'!B3,6,1),0))),0)</f>
        <v>195220</v>
      </c>
      <c r="D11" s="13">
        <f t="shared" si="1"/>
        <v>14780</v>
      </c>
      <c r="E11" s="58">
        <f t="shared" si="2"/>
        <v>0.9296190476</v>
      </c>
      <c r="F11" s="8" t="str">
        <f t="shared" si="3"/>
        <v>주의</v>
      </c>
      <c r="G11" s="8" t="str">
        <f t="shared" si="4"/>
        <v>█████████░</v>
      </c>
      <c r="I11" s="8">
        <v>3.0</v>
      </c>
      <c r="J11" s="8" t="str">
        <f t="array" ref="J11">INDEX($A$8:$A$21,MATCH(LARGE($E$8:$E$21,3),$E$8:$E$21,0))</f>
        <v>육아</v>
      </c>
      <c r="K11" s="14">
        <f>LARGE($E$8:$E$21,3)</f>
        <v>2.141665</v>
      </c>
      <c r="L11" s="62">
        <f t="array" ref="L11">INDEX($D$8:$D$21,MATCH(LARGE($E$8:$E$21,3),$E$8:$E$21,0))</f>
        <v>-456666</v>
      </c>
    </row>
    <row r="12">
      <c r="A12" s="8" t="s">
        <v>117</v>
      </c>
      <c r="B12" s="13">
        <v>260000.0</v>
      </c>
      <c r="C12" s="13">
        <f>IFERROR(ABS(SUMIFS('내역'!E:E,'내역'!C:C,"생활고정비",'내역'!A:A,"&gt;="&amp;DATE('연간현황'!B3,6,1),'내역'!A:A,"&lt;="&amp;EOMONTH(DATE('연간현황'!B3,6,1),0))),0)</f>
        <v>249190</v>
      </c>
      <c r="D12" s="13">
        <f t="shared" si="1"/>
        <v>10810</v>
      </c>
      <c r="E12" s="58">
        <f t="shared" si="2"/>
        <v>0.9584230769</v>
      </c>
      <c r="F12" s="8" t="str">
        <f t="shared" si="3"/>
        <v>주의</v>
      </c>
      <c r="G12" s="8" t="str">
        <f t="shared" si="4"/>
        <v>██████████</v>
      </c>
    </row>
    <row r="13">
      <c r="A13" s="8" t="s">
        <v>118</v>
      </c>
      <c r="B13" s="65">
        <v>420000.0</v>
      </c>
      <c r="C13" s="13">
        <f>IFERROR(ABS(SUMIFS('내역'!E:E,'내역'!C:C,"금융고정비",'내역'!A:A,"&gt;="&amp;DATE('연간현황'!B3,6,1),'내역'!A:A,"&lt;="&amp;EOMONTH(DATE('연간현황'!B3,6,1),0))),0)</f>
        <v>420300</v>
      </c>
      <c r="D13" s="13">
        <f t="shared" si="1"/>
        <v>-300</v>
      </c>
      <c r="E13" s="58">
        <f t="shared" si="2"/>
        <v>1.000714286</v>
      </c>
      <c r="F13" s="8" t="str">
        <f t="shared" si="3"/>
        <v>초과</v>
      </c>
      <c r="G13" s="8" t="str">
        <f t="shared" si="4"/>
        <v>██████████</v>
      </c>
      <c r="I13" s="10" t="s">
        <v>11</v>
      </c>
    </row>
    <row r="14">
      <c r="A14" s="8" t="s">
        <v>119</v>
      </c>
      <c r="B14" s="13">
        <v>150000.0</v>
      </c>
      <c r="C14" s="13">
        <f>IFERROR(ABS(SUMIFS('내역'!E:E,'내역'!C:C,"교통",'내역'!A:A,"&gt;="&amp;DATE('연간현황'!B3,6,1),'내역'!A:A,"&lt;="&amp;EOMONTH(DATE('연간현황'!B3,6,1),0))),0)</f>
        <v>178225</v>
      </c>
      <c r="D14" s="13">
        <f t="shared" si="1"/>
        <v>-28225</v>
      </c>
      <c r="E14" s="58">
        <f t="shared" si="2"/>
        <v>1.188166667</v>
      </c>
      <c r="F14" s="8" t="str">
        <f t="shared" si="3"/>
        <v>초과</v>
      </c>
      <c r="G14" s="8" t="str">
        <f t="shared" si="4"/>
        <v>██████████</v>
      </c>
      <c r="I14" s="12" t="s">
        <v>121</v>
      </c>
    </row>
    <row r="15">
      <c r="A15" s="8" t="s">
        <v>122</v>
      </c>
      <c r="B15" s="13">
        <v>800000.0</v>
      </c>
      <c r="C15" s="13">
        <f>IFERROR(ABS(SUMIFS('내역'!E:E,'내역'!C:C,"식비",'내역'!A:A,"&gt;="&amp;DATE('연간현황'!B3,6,1),'내역'!A:A,"&lt;="&amp;EOMONTH(DATE('연간현황'!B3,6,1),0))),0)</f>
        <v>1060428</v>
      </c>
      <c r="D15" s="13">
        <f t="shared" si="1"/>
        <v>-260428</v>
      </c>
      <c r="E15" s="58">
        <f t="shared" si="2"/>
        <v>1.325535</v>
      </c>
      <c r="F15" s="8" t="str">
        <f t="shared" si="3"/>
        <v>초과</v>
      </c>
      <c r="G15" s="8" t="str">
        <f t="shared" si="4"/>
        <v>██████████</v>
      </c>
      <c r="I15" s="12" t="s">
        <v>123</v>
      </c>
    </row>
    <row r="16">
      <c r="A16" s="8" t="s">
        <v>124</v>
      </c>
      <c r="B16" s="65">
        <v>400000.0</v>
      </c>
      <c r="C16" s="13">
        <f>IFERROR(ABS(SUMIFS('내역'!E:E,'내역'!C:C,"육아",'내역'!A:A,"&gt;="&amp;DATE('연간현황'!B3,6,1),'내역'!A:A,"&lt;="&amp;EOMONTH(DATE('연간현황'!B3,6,1),0))),0)</f>
        <v>856666</v>
      </c>
      <c r="D16" s="13">
        <f t="shared" si="1"/>
        <v>-456666</v>
      </c>
      <c r="E16" s="58">
        <f t="shared" si="2"/>
        <v>2.141665</v>
      </c>
      <c r="F16" s="8" t="str">
        <f t="shared" si="3"/>
        <v>초과</v>
      </c>
      <c r="G16" s="8" t="str">
        <f t="shared" si="4"/>
        <v>██████████</v>
      </c>
      <c r="I16" s="12" t="s">
        <v>125</v>
      </c>
    </row>
    <row r="17">
      <c r="A17" s="64" t="s">
        <v>126</v>
      </c>
      <c r="B17" s="65">
        <v>150000.0</v>
      </c>
      <c r="C17" s="13">
        <f>MAX(0, IFERROR(ABS(SUMIFS('내역'!E:E,'내역'!C:C,"의료비",'내역'!A:A,"&gt;="&amp;DATE('연간현황'!B3,6,1),'내역'!A:A,"&lt;="&amp;EOMONTH(DATE('연간현황'!B3,6,1),0)))-ABS(SUMIFS('내역'!E:E,'내역'!C:C,"실비",'내역'!A:A,"&gt;="&amp;DATE('연간현황'!B3,6,1),'내역'!A:A,"&lt;="&amp;EOMONTH(DATE('연간현황'!B3,6,1),0))),0))</f>
        <v>347111</v>
      </c>
      <c r="D17" s="13">
        <f t="shared" si="1"/>
        <v>-197111</v>
      </c>
      <c r="E17" s="58">
        <f t="shared" si="2"/>
        <v>2.314073333</v>
      </c>
      <c r="F17" s="8" t="str">
        <f t="shared" si="3"/>
        <v>초과</v>
      </c>
      <c r="G17" s="8" t="str">
        <f t="shared" si="4"/>
        <v>██████████</v>
      </c>
      <c r="I17" s="12" t="s">
        <v>127</v>
      </c>
    </row>
    <row r="18">
      <c r="A18" s="8" t="s">
        <v>128</v>
      </c>
      <c r="B18" s="13">
        <v>300000.0</v>
      </c>
      <c r="C18" s="13">
        <f>IFERROR(ABS(SUMIFS('내역'!E:E,'내역'!C:C,"기타생활비",'내역'!A:A,"&gt;="&amp;DATE('연간현황'!B3,6,1),'내역'!A:A,"&lt;="&amp;EOMONTH(DATE('연간현황'!B3,6,1),0))),0)</f>
        <v>180176</v>
      </c>
      <c r="D18" s="13">
        <f t="shared" si="1"/>
        <v>119824</v>
      </c>
      <c r="E18" s="58">
        <f t="shared" si="2"/>
        <v>0.6005866667</v>
      </c>
      <c r="F18" s="8" t="str">
        <f t="shared" si="3"/>
        <v>안정</v>
      </c>
      <c r="G18" s="8" t="str">
        <f t="shared" si="4"/>
        <v>██████░░░░</v>
      </c>
    </row>
    <row r="19">
      <c r="A19" s="8" t="s">
        <v>129</v>
      </c>
      <c r="B19" s="13">
        <v>100000.0</v>
      </c>
      <c r="C19" s="13">
        <f>IFERROR(ABS(SUMIFS('내역'!E:E,'내역'!C:C,"이벤트",'내역'!A:A,"&gt;="&amp;DATE('연간현황'!B3,6,1),'내역'!A:A,"&lt;="&amp;EOMONTH(DATE('연간현황'!B3,6,1),0))),0)</f>
        <v>277300</v>
      </c>
      <c r="D19" s="13">
        <f t="shared" si="1"/>
        <v>-177300</v>
      </c>
      <c r="E19" s="58">
        <f t="shared" si="2"/>
        <v>2.773</v>
      </c>
      <c r="F19" s="8" t="str">
        <f t="shared" si="3"/>
        <v>초과</v>
      </c>
      <c r="G19" s="8" t="str">
        <f t="shared" si="4"/>
        <v>██████████</v>
      </c>
    </row>
    <row r="20">
      <c r="A20" s="8" t="s">
        <v>130</v>
      </c>
      <c r="B20" s="65">
        <v>200000.0</v>
      </c>
      <c r="C20" s="13">
        <f>IFERROR(ABS(SUMIFS('내역'!E:E,'내역'!C:C,"기석용돈",'내역'!A:A,"&gt;="&amp;DATE('연간현황'!B3,6,1),'내역'!A:A,"&lt;="&amp;EOMONTH(DATE('연간현황'!B3,6,1),0))),0)</f>
        <v>119005</v>
      </c>
      <c r="D20" s="13">
        <f t="shared" si="1"/>
        <v>80995</v>
      </c>
      <c r="E20" s="58">
        <f t="shared" si="2"/>
        <v>0.595025</v>
      </c>
      <c r="F20" s="8" t="str">
        <f t="shared" si="3"/>
        <v>안정</v>
      </c>
      <c r="G20" s="8" t="str">
        <f t="shared" si="4"/>
        <v>██████░░░░</v>
      </c>
    </row>
    <row r="21">
      <c r="A21" s="8" t="s">
        <v>131</v>
      </c>
      <c r="B21" s="65">
        <v>200000.0</v>
      </c>
      <c r="C21" s="13">
        <f>IFERROR(ABS(SUMIFS('내역'!E:E,'내역'!C:C,"승주용돈",'내역'!A:A,"&gt;="&amp;DATE('연간현황'!B3,6,1),'내역'!A:A,"&lt;="&amp;EOMONTH(DATE('연간현황'!B3,6,1),0))),0)</f>
        <v>80403</v>
      </c>
      <c r="D21" s="13">
        <f t="shared" si="1"/>
        <v>119597</v>
      </c>
      <c r="E21" s="58">
        <f t="shared" si="2"/>
        <v>0.402015</v>
      </c>
      <c r="F21" s="8" t="str">
        <f t="shared" si="3"/>
        <v>안정</v>
      </c>
      <c r="G21" s="8" t="str">
        <f t="shared" si="4"/>
        <v>████░░░░░░</v>
      </c>
    </row>
    <row r="22" ht="15.75" customHeight="1">
      <c r="A22" s="66" t="s">
        <v>115</v>
      </c>
      <c r="B22" s="67">
        <f t="shared" ref="B22:D22" si="5">SUM(B8:B21)</f>
        <v>6780000</v>
      </c>
      <c r="C22" s="67">
        <f t="shared" si="5"/>
        <v>5901764</v>
      </c>
      <c r="D22" s="67">
        <f t="shared" si="5"/>
        <v>878236</v>
      </c>
      <c r="E22" s="68">
        <f t="shared" si="2"/>
        <v>0.8704666667</v>
      </c>
      <c r="F22" s="66" t="str">
        <f t="shared" si="3"/>
        <v>주의</v>
      </c>
      <c r="G22" s="66" t="str">
        <f t="shared" si="4"/>
        <v>█████████░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D8:D22">
    <cfRule type="cellIs" dxfId="0" priority="1" operator="lessThan">
      <formula>0</formula>
    </cfRule>
  </conditionalFormatting>
  <conditionalFormatting sqref="D8:D22">
    <cfRule type="cellIs" dxfId="1" priority="2" operator="greaterThanOrEqual">
      <formula>0</formula>
    </cfRule>
  </conditionalFormatting>
  <conditionalFormatting sqref="D8:D22">
    <cfRule type="cellIs" dxfId="2" priority="3" operator="lessThan">
      <formula>0</formula>
    </cfRule>
  </conditionalFormatting>
  <conditionalFormatting sqref="F8:F22">
    <cfRule type="expression" dxfId="0" priority="4">
      <formula>$F8="초과"</formula>
    </cfRule>
  </conditionalFormatting>
  <conditionalFormatting sqref="F8:F22">
    <cfRule type="expression" dxfId="3" priority="5">
      <formula>$F8="주의"</formula>
    </cfRule>
  </conditionalFormatting>
  <conditionalFormatting sqref="F8:F22">
    <cfRule type="expression" dxfId="1" priority="6">
      <formula>$F8="안정"</formula>
    </cfRule>
  </conditionalFormatting>
  <conditionalFormatting sqref="F8:F22">
    <cfRule type="cellIs" dxfId="2" priority="7" operator="equal">
      <formula>"초과"</formula>
    </cfRule>
  </conditionalFormatting>
  <conditionalFormatting sqref="F8:F22">
    <cfRule type="cellIs" dxfId="0" priority="8" operator="equal">
      <formula>"주의"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ADCC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4.0"/>
    <col customWidth="1" min="5" max="5" width="11.0"/>
    <col customWidth="1" min="6" max="6" width="10.0"/>
    <col customWidth="1" min="7" max="7" width="18.0"/>
    <col customWidth="1" min="8" max="8" width="3.0"/>
    <col customWidth="1" min="9" max="12" width="18.0"/>
    <col customWidth="1" min="13" max="26" width="8.71"/>
  </cols>
  <sheetData>
    <row r="1">
      <c r="A1" s="7" t="s">
        <v>135</v>
      </c>
    </row>
    <row r="2">
      <c r="A2" s="3" t="s">
        <v>98</v>
      </c>
    </row>
    <row r="4">
      <c r="A4" s="22" t="s">
        <v>99</v>
      </c>
      <c r="B4" s="24">
        <f>B23</f>
        <v>6880000</v>
      </c>
      <c r="C4" s="50" t="s">
        <v>102</v>
      </c>
      <c r="D4" s="24">
        <f>C23</f>
        <v>2213768</v>
      </c>
      <c r="E4" s="52" t="s">
        <v>103</v>
      </c>
      <c r="F4" s="53">
        <f>D23</f>
        <v>4666232</v>
      </c>
      <c r="G4" s="22" t="s">
        <v>104</v>
      </c>
      <c r="H4" s="54">
        <f>IFERROR(C23/B23,0)</f>
        <v>0.3217686047</v>
      </c>
    </row>
    <row r="7">
      <c r="A7" s="55" t="s">
        <v>40</v>
      </c>
      <c r="B7" s="55" t="s">
        <v>105</v>
      </c>
      <c r="C7" s="55" t="s">
        <v>106</v>
      </c>
      <c r="D7" s="55" t="s">
        <v>107</v>
      </c>
      <c r="E7" s="55" t="s">
        <v>63</v>
      </c>
      <c r="F7" s="55" t="s">
        <v>108</v>
      </c>
      <c r="G7" s="55" t="s">
        <v>109</v>
      </c>
      <c r="I7" s="56" t="s">
        <v>110</v>
      </c>
    </row>
    <row r="8">
      <c r="A8" s="8" t="s">
        <v>111</v>
      </c>
      <c r="B8" s="13">
        <v>2900000.0</v>
      </c>
      <c r="C8" s="13">
        <f>IFERROR(ABS(SUMIFS('내역'!E:E,'내역'!C:C,"대출",'내역'!A:A,"&gt;="&amp;DATE('연간현황'!B3,7,1),'내역'!A:A,"&lt;="&amp;EOMONTH(DATE('연간현황'!B3,7,1),0))),0)</f>
        <v>0</v>
      </c>
      <c r="D8" s="13">
        <f t="shared" ref="D8:D22" si="1">B8-C8</f>
        <v>2900000</v>
      </c>
      <c r="E8" s="58">
        <f t="shared" ref="E8:E23" si="2">IFERROR(C8/B8,0)</f>
        <v>0</v>
      </c>
      <c r="F8" s="8" t="str">
        <f t="shared" ref="F8:F23" si="3">IF(E8&gt;=1,"초과",IF(E8&gt;=0.8,"주의","안정"))</f>
        <v>안정</v>
      </c>
      <c r="G8" s="8" t="str">
        <f t="shared" ref="G8:G23" si="4">REPT("█",ROUND(MIN(1,E8)*10,0))&amp;REPT("░",10-ROUND(MIN(1,E8)*10,0))</f>
        <v>░░░░░░░░░░</v>
      </c>
      <c r="I8" s="61" t="s">
        <v>112</v>
      </c>
      <c r="J8" s="61" t="s">
        <v>40</v>
      </c>
      <c r="K8" s="61" t="s">
        <v>63</v>
      </c>
      <c r="L8" s="61" t="s">
        <v>107</v>
      </c>
    </row>
    <row r="9">
      <c r="A9" s="8" t="s">
        <v>113</v>
      </c>
      <c r="B9" s="13">
        <v>550000.0</v>
      </c>
      <c r="C9" s="13">
        <f>IFERROR(ABS(SUMIFS('내역'!E:E,'내역'!C:C,"보험",'내역'!A:A,"&gt;="&amp;DATE('연간현황'!B3,7,1),'내역'!A:A,"&lt;="&amp;EOMONTH(DATE('연간현황'!B3,7,1),0))),0)</f>
        <v>170600</v>
      </c>
      <c r="D9" s="13">
        <f t="shared" si="1"/>
        <v>379400</v>
      </c>
      <c r="E9" s="58">
        <f t="shared" si="2"/>
        <v>0.3101818182</v>
      </c>
      <c r="F9" s="8" t="str">
        <f t="shared" si="3"/>
        <v>안정</v>
      </c>
      <c r="G9" s="8" t="str">
        <f t="shared" si="4"/>
        <v>███░░░░░░░</v>
      </c>
      <c r="I9" s="8">
        <v>1.0</v>
      </c>
      <c r="J9" s="8" t="str">
        <f t="array" ref="J9">INDEX($A$8:$A$22,MATCH(LARGE($E$8:$E$22,1),$E$8:$E$22,0))</f>
        <v>육아</v>
      </c>
      <c r="K9" s="14">
        <f>LARGE($E$8:$E$22,1)</f>
        <v>0.98018</v>
      </c>
      <c r="L9" s="62">
        <f t="array" ref="L9">INDEX($D$8:$D$22,MATCH(LARGE($E$8:$E$22,1),$E$8:$E$22,0))</f>
        <v>9910</v>
      </c>
    </row>
    <row r="10">
      <c r="A10" s="8" t="s">
        <v>114</v>
      </c>
      <c r="B10" s="13">
        <v>140000.0</v>
      </c>
      <c r="C10" s="13">
        <f>IFERROR(ABS(SUMIFS('내역'!E:E,'내역'!C:C,"통신비",'내역'!A:A,"&gt;="&amp;DATE('연간현황'!B3,7,1),'내역'!A:A,"&lt;="&amp;EOMONTH(DATE('연간현황'!B3,7,1),0))),0)</f>
        <v>83080</v>
      </c>
      <c r="D10" s="13">
        <f t="shared" si="1"/>
        <v>56920</v>
      </c>
      <c r="E10" s="58">
        <f t="shared" si="2"/>
        <v>0.5934285714</v>
      </c>
      <c r="F10" s="8" t="str">
        <f t="shared" si="3"/>
        <v>안정</v>
      </c>
      <c r="G10" s="8" t="str">
        <f t="shared" si="4"/>
        <v>██████░░░░</v>
      </c>
      <c r="I10" s="8">
        <v>2.0</v>
      </c>
      <c r="J10" s="8" t="str">
        <f t="array" ref="J10">INDEX($A$8:$A$22,MATCH(LARGE($E$8:$E$22,2),$E$8:$E$22,0))</f>
        <v>교통</v>
      </c>
      <c r="K10" s="14">
        <f>LARGE($E$8:$E$22,2)</f>
        <v>0.9800866667</v>
      </c>
      <c r="L10" s="62">
        <f t="array" ref="L10">INDEX($D$8:$D$22,MATCH(LARGE($E$8:$E$22,2),$E$8:$E$22,0))</f>
        <v>2987</v>
      </c>
    </row>
    <row r="11">
      <c r="A11" s="8" t="s">
        <v>116</v>
      </c>
      <c r="B11" s="13">
        <v>210000.0</v>
      </c>
      <c r="C11" s="13">
        <f>IFERROR(ABS(SUMIFS('내역'!E:E,'내역'!C:C,"주거비",'내역'!A:A,"&gt;="&amp;DATE('연간현황'!B3,7,1),'내역'!A:A,"&lt;="&amp;EOMONTH(DATE('연간현황'!B3,7,1),0))),0)</f>
        <v>23170</v>
      </c>
      <c r="D11" s="13">
        <f t="shared" si="1"/>
        <v>186830</v>
      </c>
      <c r="E11" s="58">
        <f t="shared" si="2"/>
        <v>0.1103333333</v>
      </c>
      <c r="F11" s="8" t="str">
        <f t="shared" si="3"/>
        <v>안정</v>
      </c>
      <c r="G11" s="8" t="str">
        <f t="shared" si="4"/>
        <v>█░░░░░░░░░</v>
      </c>
      <c r="I11" s="8">
        <v>3.0</v>
      </c>
      <c r="J11" s="8" t="str">
        <f t="array" ref="J11">INDEX($A$8:$A$22,MATCH(LARGE($E$8:$E$22,3),$E$8:$E$22,0))</f>
        <v>식비</v>
      </c>
      <c r="K11" s="14">
        <f>LARGE($E$8:$E$22,3)</f>
        <v>0.85168375</v>
      </c>
      <c r="L11" s="62">
        <f t="array" ref="L11">INDEX($D$8:$D$22,MATCH(LARGE($E$8:$E$22,3),$E$8:$E$22,0))</f>
        <v>118653</v>
      </c>
    </row>
    <row r="12">
      <c r="A12" s="8" t="s">
        <v>117</v>
      </c>
      <c r="B12" s="13">
        <v>260000.0</v>
      </c>
      <c r="C12" s="13">
        <f>IFERROR(ABS(SUMIFS('내역'!E:E,'내역'!C:C,"생활고정비",'내역'!A:A,"&gt;="&amp;DATE('연간현황'!B3,7,1),'내역'!A:A,"&lt;="&amp;EOMONTH(DATE('연간현황'!B3,7,1),0))),0)</f>
        <v>118690</v>
      </c>
      <c r="D12" s="13">
        <f t="shared" si="1"/>
        <v>141310</v>
      </c>
      <c r="E12" s="58">
        <f t="shared" si="2"/>
        <v>0.4565</v>
      </c>
      <c r="F12" s="8" t="str">
        <f t="shared" si="3"/>
        <v>안정</v>
      </c>
      <c r="G12" s="8" t="str">
        <f t="shared" si="4"/>
        <v>█████░░░░░</v>
      </c>
    </row>
    <row r="13">
      <c r="A13" s="8" t="s">
        <v>118</v>
      </c>
      <c r="B13" s="65">
        <v>420000.0</v>
      </c>
      <c r="C13" s="13">
        <f>IFERROR(ABS(SUMIFS('내역'!E:E,'내역'!C:C,"금융고정비",'내역'!A:A,"&gt;="&amp;DATE('연간현황'!B3,7,1),'내역'!A:A,"&lt;="&amp;EOMONTH(DATE('연간현황'!B3,7,1),0))),0)</f>
        <v>112000</v>
      </c>
      <c r="D13" s="13">
        <f t="shared" si="1"/>
        <v>308000</v>
      </c>
      <c r="E13" s="58">
        <f t="shared" si="2"/>
        <v>0.2666666667</v>
      </c>
      <c r="F13" s="8" t="str">
        <f t="shared" si="3"/>
        <v>안정</v>
      </c>
      <c r="G13" s="8" t="str">
        <f t="shared" si="4"/>
        <v>███░░░░░░░</v>
      </c>
      <c r="I13" s="10" t="s">
        <v>11</v>
      </c>
    </row>
    <row r="14">
      <c r="A14" s="8" t="s">
        <v>119</v>
      </c>
      <c r="B14" s="13">
        <v>150000.0</v>
      </c>
      <c r="C14" s="13">
        <f>IFERROR(ABS(SUMIFS('내역'!E:E,'내역'!C:C,"교통",'내역'!A:A,"&gt;="&amp;DATE('연간현황'!B3,7,1),'내역'!A:A,"&lt;="&amp;EOMONTH(DATE('연간현황'!B3,7,1),0))),0)</f>
        <v>147013</v>
      </c>
      <c r="D14" s="13">
        <f t="shared" si="1"/>
        <v>2987</v>
      </c>
      <c r="E14" s="58">
        <f t="shared" si="2"/>
        <v>0.9800866667</v>
      </c>
      <c r="F14" s="8" t="str">
        <f t="shared" si="3"/>
        <v>주의</v>
      </c>
      <c r="G14" s="8" t="str">
        <f t="shared" si="4"/>
        <v>██████████</v>
      </c>
      <c r="I14" s="12" t="s">
        <v>121</v>
      </c>
    </row>
    <row r="15">
      <c r="A15" s="8" t="s">
        <v>122</v>
      </c>
      <c r="B15" s="13">
        <v>800000.0</v>
      </c>
      <c r="C15" s="13">
        <f>IFERROR(ABS(SUMIFS('내역'!E:E,'내역'!C:C,"식비",'내역'!A:A,"&gt;="&amp;DATE('연간현황'!B3,7,1),'내역'!A:A,"&lt;="&amp;EOMONTH(DATE('연간현황'!B3,7,1),0))),0)</f>
        <v>681347</v>
      </c>
      <c r="D15" s="13">
        <f t="shared" si="1"/>
        <v>118653</v>
      </c>
      <c r="E15" s="58">
        <f t="shared" si="2"/>
        <v>0.85168375</v>
      </c>
      <c r="F15" s="8" t="str">
        <f t="shared" si="3"/>
        <v>주의</v>
      </c>
      <c r="G15" s="8" t="str">
        <f t="shared" si="4"/>
        <v>█████████░</v>
      </c>
      <c r="I15" s="12" t="s">
        <v>123</v>
      </c>
    </row>
    <row r="16">
      <c r="A16" s="8" t="s">
        <v>124</v>
      </c>
      <c r="B16" s="65">
        <v>500000.0</v>
      </c>
      <c r="C16" s="13">
        <f>IFERROR(ABS(SUMIFS('내역'!E:E,'내역'!C:C,"육아",'내역'!A:A,"&gt;="&amp;DATE('연간현황'!B3,7,1),'내역'!A:A,"&lt;="&amp;EOMONTH(DATE('연간현황'!B3,7,1),0))),0)</f>
        <v>490090</v>
      </c>
      <c r="D16" s="13">
        <f t="shared" si="1"/>
        <v>9910</v>
      </c>
      <c r="E16" s="58">
        <f t="shared" si="2"/>
        <v>0.98018</v>
      </c>
      <c r="F16" s="8" t="str">
        <f t="shared" si="3"/>
        <v>주의</v>
      </c>
      <c r="G16" s="8" t="str">
        <f t="shared" si="4"/>
        <v>██████████</v>
      </c>
      <c r="I16" s="12" t="s">
        <v>125</v>
      </c>
    </row>
    <row r="17">
      <c r="A17" s="64" t="s">
        <v>126</v>
      </c>
      <c r="B17" s="65">
        <v>150000.0</v>
      </c>
      <c r="C17" s="13">
        <f>MAX(0, IFERROR(ABS(SUMIFS('내역'!E:E,'내역'!C:C,"의료비",'내역'!A:A,"&gt;="&amp;DATE('연간현황'!B3,7,1),'내역'!A:A,"&lt;="&amp;EOMONTH(DATE('연간현황'!B3,7,1),0)))-ABS(SUMIFS('내역'!E:E,'내역'!C:C,"실비",'내역'!A:A,"&gt;="&amp;DATE('연간현황'!B3,7,1),'내역'!A:A,"&lt;="&amp;EOMONTH(DATE('연간현황'!B3,7,1),0))),0))</f>
        <v>27710</v>
      </c>
      <c r="D17" s="13">
        <f t="shared" si="1"/>
        <v>122290</v>
      </c>
      <c r="E17" s="58">
        <f t="shared" si="2"/>
        <v>0.1847333333</v>
      </c>
      <c r="F17" s="8" t="str">
        <f t="shared" si="3"/>
        <v>안정</v>
      </c>
      <c r="G17" s="8" t="str">
        <f t="shared" si="4"/>
        <v>██░░░░░░░░</v>
      </c>
      <c r="I17" s="12" t="s">
        <v>127</v>
      </c>
    </row>
    <row r="18">
      <c r="A18" s="8" t="s">
        <v>128</v>
      </c>
      <c r="B18" s="13">
        <v>300000.0</v>
      </c>
      <c r="C18" s="13">
        <f>IFERROR(ABS(SUMIFS('내역'!E:E,'내역'!C:C,"기타생활비",'내역'!A:A,"&gt;="&amp;DATE('연간현황'!B3,7,1),'내역'!A:A,"&lt;="&amp;EOMONTH(DATE('연간현황'!B3,7,1),0))),0)</f>
        <v>29490</v>
      </c>
      <c r="D18" s="13">
        <f t="shared" si="1"/>
        <v>270510</v>
      </c>
      <c r="E18" s="58">
        <f t="shared" si="2"/>
        <v>0.0983</v>
      </c>
      <c r="F18" s="8" t="str">
        <f t="shared" si="3"/>
        <v>안정</v>
      </c>
      <c r="G18" s="8" t="str">
        <f t="shared" si="4"/>
        <v>█░░░░░░░░░</v>
      </c>
    </row>
    <row r="19">
      <c r="A19" s="8" t="s">
        <v>129</v>
      </c>
      <c r="B19" s="13">
        <v>100000.0</v>
      </c>
      <c r="C19" s="13">
        <f>IFERROR(ABS(SUMIFS('내역'!E:E,'내역'!C:C,"이벤트",'내역'!A:A,"&gt;="&amp;DATE('연간현황'!B3,7,1),'내역'!A:A,"&lt;="&amp;EOMONTH(DATE('연간현황'!B3,7,1),0))),0)</f>
        <v>30999</v>
      </c>
      <c r="D19" s="13">
        <f t="shared" si="1"/>
        <v>69001</v>
      </c>
      <c r="E19" s="58">
        <f t="shared" si="2"/>
        <v>0.30999</v>
      </c>
      <c r="F19" s="8" t="str">
        <f t="shared" si="3"/>
        <v>안정</v>
      </c>
      <c r="G19" s="8" t="str">
        <f t="shared" si="4"/>
        <v>███░░░░░░░</v>
      </c>
    </row>
    <row r="20">
      <c r="A20" s="64" t="s">
        <v>136</v>
      </c>
      <c r="B20" s="65">
        <v>0.0</v>
      </c>
      <c r="C20" s="13">
        <f>IFERROR(ABS(SUMIFS('내역'!E:E,'내역'!C:C,"세금",'내역'!A:A,"&gt;="&amp;DATE('연간현황'!B3,7,1),'내역'!A:A,"&lt;="&amp;EOMONTH(DATE('연간현황'!B3,7,1),0))),0)</f>
        <v>193680</v>
      </c>
      <c r="D20" s="13">
        <f t="shared" si="1"/>
        <v>-193680</v>
      </c>
      <c r="E20" s="58">
        <f t="shared" si="2"/>
        <v>0</v>
      </c>
      <c r="F20" s="8" t="str">
        <f t="shared" si="3"/>
        <v>안정</v>
      </c>
      <c r="G20" s="8" t="str">
        <f t="shared" si="4"/>
        <v>░░░░░░░░░░</v>
      </c>
    </row>
    <row r="21">
      <c r="A21" s="8" t="s">
        <v>130</v>
      </c>
      <c r="B21" s="65">
        <v>200000.0</v>
      </c>
      <c r="C21" s="13">
        <f>IFERROR(ABS(SUMIFS('내역'!E:E,'내역'!C:C,"기석용돈",'내역'!A:A,"&gt;="&amp;DATE('연간현황'!B3,7,1),'내역'!A:A,"&lt;="&amp;EOMONTH(DATE('연간현황'!B3,7,1),0))),0)</f>
        <v>0</v>
      </c>
      <c r="D21" s="13">
        <f t="shared" si="1"/>
        <v>200000</v>
      </c>
      <c r="E21" s="58">
        <f t="shared" si="2"/>
        <v>0</v>
      </c>
      <c r="F21" s="8" t="str">
        <f t="shared" si="3"/>
        <v>안정</v>
      </c>
      <c r="G21" s="8" t="str">
        <f t="shared" si="4"/>
        <v>░░░░░░░░░░</v>
      </c>
    </row>
    <row r="22">
      <c r="A22" s="8" t="s">
        <v>131</v>
      </c>
      <c r="B22" s="65">
        <v>200000.0</v>
      </c>
      <c r="C22" s="13">
        <f>IFERROR(ABS(SUMIFS('내역'!E:E,'내역'!C:C,"승주용돈",'내역'!A:A,"&gt;="&amp;DATE('연간현황'!B3,7,1),'내역'!A:A,"&lt;="&amp;EOMONTH(DATE('연간현황'!B3,7,1),0))),0)</f>
        <v>105899</v>
      </c>
      <c r="D22" s="13">
        <f t="shared" si="1"/>
        <v>94101</v>
      </c>
      <c r="E22" s="58">
        <f t="shared" si="2"/>
        <v>0.529495</v>
      </c>
      <c r="F22" s="8" t="str">
        <f t="shared" si="3"/>
        <v>안정</v>
      </c>
      <c r="G22" s="8" t="str">
        <f t="shared" si="4"/>
        <v>█████░░░░░</v>
      </c>
    </row>
    <row r="23" ht="15.75" customHeight="1">
      <c r="A23" s="66" t="s">
        <v>115</v>
      </c>
      <c r="B23" s="67">
        <f t="shared" ref="B23:D23" si="5">SUM(B8:B22)</f>
        <v>6880000</v>
      </c>
      <c r="C23" s="67">
        <f t="shared" si="5"/>
        <v>2213768</v>
      </c>
      <c r="D23" s="67">
        <f t="shared" si="5"/>
        <v>4666232</v>
      </c>
      <c r="E23" s="68">
        <f t="shared" si="2"/>
        <v>0.3217686047</v>
      </c>
      <c r="F23" s="66" t="str">
        <f t="shared" si="3"/>
        <v>안정</v>
      </c>
      <c r="G23" s="66" t="str">
        <f t="shared" si="4"/>
        <v>███░░░░░░░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D8:D23">
    <cfRule type="cellIs" dxfId="0" priority="1" operator="lessThan">
      <formula>0</formula>
    </cfRule>
  </conditionalFormatting>
  <conditionalFormatting sqref="D8:D23">
    <cfRule type="cellIs" dxfId="1" priority="2" operator="greaterThanOrEqual">
      <formula>0</formula>
    </cfRule>
  </conditionalFormatting>
  <conditionalFormatting sqref="D8:D23">
    <cfRule type="cellIs" dxfId="2" priority="3" operator="lessThan">
      <formula>0</formula>
    </cfRule>
  </conditionalFormatting>
  <conditionalFormatting sqref="F8:F23">
    <cfRule type="expression" dxfId="0" priority="4">
      <formula>$F8="초과"</formula>
    </cfRule>
  </conditionalFormatting>
  <conditionalFormatting sqref="F8:F23">
    <cfRule type="expression" dxfId="3" priority="5">
      <formula>$F8="주의"</formula>
    </cfRule>
  </conditionalFormatting>
  <conditionalFormatting sqref="F8:F23">
    <cfRule type="expression" dxfId="1" priority="6">
      <formula>$F8="안정"</formula>
    </cfRule>
  </conditionalFormatting>
  <conditionalFormatting sqref="F8:F23">
    <cfRule type="cellIs" dxfId="2" priority="7" operator="equal">
      <formula>"초과"</formula>
    </cfRule>
  </conditionalFormatting>
  <conditionalFormatting sqref="F8:F23">
    <cfRule type="cellIs" dxfId="0" priority="8" operator="equal">
      <formula>"주의"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ADCC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4.0"/>
    <col customWidth="1" min="5" max="5" width="11.0"/>
    <col customWidth="1" min="6" max="6" width="10.0"/>
    <col customWidth="1" min="7" max="7" width="18.0"/>
    <col customWidth="1" min="8" max="8" width="3.0"/>
    <col customWidth="1" min="9" max="12" width="18.0"/>
    <col customWidth="1" min="13" max="26" width="8.71"/>
  </cols>
  <sheetData>
    <row r="1">
      <c r="A1" s="7" t="s">
        <v>137</v>
      </c>
    </row>
    <row r="2">
      <c r="A2" s="3" t="s">
        <v>98</v>
      </c>
    </row>
    <row r="4">
      <c r="A4" s="22" t="s">
        <v>99</v>
      </c>
      <c r="B4" s="24">
        <f>B23</f>
        <v>6880000</v>
      </c>
      <c r="C4" s="50" t="s">
        <v>102</v>
      </c>
      <c r="D4" s="24">
        <f>C23</f>
        <v>0</v>
      </c>
      <c r="E4" s="52" t="s">
        <v>103</v>
      </c>
      <c r="F4" s="53">
        <f>D23</f>
        <v>6880000</v>
      </c>
      <c r="G4" s="22" t="s">
        <v>104</v>
      </c>
      <c r="H4" s="54">
        <f>IFERROR(C23/B23,0)</f>
        <v>0</v>
      </c>
    </row>
    <row r="7">
      <c r="A7" s="55" t="s">
        <v>40</v>
      </c>
      <c r="B7" s="55" t="s">
        <v>105</v>
      </c>
      <c r="C7" s="55" t="s">
        <v>106</v>
      </c>
      <c r="D7" s="55" t="s">
        <v>107</v>
      </c>
      <c r="E7" s="55" t="s">
        <v>63</v>
      </c>
      <c r="F7" s="55" t="s">
        <v>108</v>
      </c>
      <c r="G7" s="55" t="s">
        <v>109</v>
      </c>
      <c r="I7" s="56" t="s">
        <v>110</v>
      </c>
    </row>
    <row r="8">
      <c r="A8" s="8" t="s">
        <v>111</v>
      </c>
      <c r="B8" s="13">
        <v>2900000.0</v>
      </c>
      <c r="C8" s="13">
        <f>IFERROR(ABS(SUMIFS('내역'!E:E,'내역'!C:C,"대출",'내역'!A:A,"&gt;="&amp;DATE('연간현황'!B3,8,1),'내역'!A:A,"&lt;="&amp;EOMONTH(DATE('연간현황'!B3,8,1),0))),0)</f>
        <v>0</v>
      </c>
      <c r="D8" s="13">
        <f t="shared" ref="D8:D22" si="1">B8-C8</f>
        <v>2900000</v>
      </c>
      <c r="E8" s="58">
        <f t="shared" ref="E8:E23" si="2">IFERROR(C8/B8,0)</f>
        <v>0</v>
      </c>
      <c r="F8" s="8" t="str">
        <f t="shared" ref="F8:F23" si="3">IF(E8&gt;=1,"초과",IF(E8&gt;=0.8,"주의","안정"))</f>
        <v>안정</v>
      </c>
      <c r="G8" s="8" t="str">
        <f t="shared" ref="G8:G23" si="4">REPT("█",ROUND(MIN(1,E8)*10,0))&amp;REPT("░",10-ROUND(MIN(1,E8)*10,0))</f>
        <v>░░░░░░░░░░</v>
      </c>
      <c r="I8" s="61" t="s">
        <v>112</v>
      </c>
      <c r="J8" s="61" t="s">
        <v>40</v>
      </c>
      <c r="K8" s="61" t="s">
        <v>63</v>
      </c>
      <c r="L8" s="61" t="s">
        <v>107</v>
      </c>
    </row>
    <row r="9">
      <c r="A9" s="8" t="s">
        <v>113</v>
      </c>
      <c r="B9" s="13">
        <v>550000.0</v>
      </c>
      <c r="C9" s="13">
        <f>IFERROR(ABS(SUMIFS('내역'!E:E,'내역'!C:C,"보험",'내역'!A:A,"&gt;="&amp;DATE('연간현황'!B3,8,1),'내역'!A:A,"&lt;="&amp;EOMONTH(DATE('연간현황'!B3,8,1),0))),0)</f>
        <v>0</v>
      </c>
      <c r="D9" s="13">
        <f t="shared" si="1"/>
        <v>550000</v>
      </c>
      <c r="E9" s="58">
        <f t="shared" si="2"/>
        <v>0</v>
      </c>
      <c r="F9" s="8" t="str">
        <f t="shared" si="3"/>
        <v>안정</v>
      </c>
      <c r="G9" s="8" t="str">
        <f t="shared" si="4"/>
        <v>░░░░░░░░░░</v>
      </c>
      <c r="I9" s="8">
        <v>1.0</v>
      </c>
      <c r="J9" s="8" t="str">
        <f t="array" ref="J9">INDEX($A$8:$A$22,MATCH(LARGE($E$8:$E$22,1),$E$8:$E$22,0))</f>
        <v>대출</v>
      </c>
      <c r="K9" s="14">
        <f>LARGE($E$8:$E$22,1)</f>
        <v>0</v>
      </c>
      <c r="L9" s="62">
        <f t="array" ref="L9">INDEX($D$8:$D$22,MATCH(LARGE($E$8:$E$22,1),$E$8:$E$22,0))</f>
        <v>2900000</v>
      </c>
    </row>
    <row r="10">
      <c r="A10" s="8" t="s">
        <v>114</v>
      </c>
      <c r="B10" s="13">
        <v>140000.0</v>
      </c>
      <c r="C10" s="13">
        <f>IFERROR(ABS(SUMIFS('내역'!E:E,'내역'!C:C,"통신비",'내역'!A:A,"&gt;="&amp;DATE('연간현황'!B3,8,1),'내역'!A:A,"&lt;="&amp;EOMONTH(DATE('연간현황'!B3,8,1),0))),0)</f>
        <v>0</v>
      </c>
      <c r="D10" s="13">
        <f t="shared" si="1"/>
        <v>140000</v>
      </c>
      <c r="E10" s="58">
        <f t="shared" si="2"/>
        <v>0</v>
      </c>
      <c r="F10" s="8" t="str">
        <f t="shared" si="3"/>
        <v>안정</v>
      </c>
      <c r="G10" s="8" t="str">
        <f t="shared" si="4"/>
        <v>░░░░░░░░░░</v>
      </c>
      <c r="I10" s="8">
        <v>2.0</v>
      </c>
      <c r="J10" s="8" t="str">
        <f t="array" ref="J10">INDEX($A$8:$A$22,MATCH(LARGE($E$8:$E$22,2),$E$8:$E$22,0))</f>
        <v>대출</v>
      </c>
      <c r="K10" s="14">
        <f>LARGE($E$8:$E$22,2)</f>
        <v>0</v>
      </c>
      <c r="L10" s="62">
        <f t="array" ref="L10">INDEX($D$8:$D$22,MATCH(LARGE($E$8:$E$22,2),$E$8:$E$22,0))</f>
        <v>2900000</v>
      </c>
    </row>
    <row r="11">
      <c r="A11" s="8" t="s">
        <v>116</v>
      </c>
      <c r="B11" s="13">
        <v>210000.0</v>
      </c>
      <c r="C11" s="13">
        <f>IFERROR(ABS(SUMIFS('내역'!E:E,'내역'!C:C,"주거비",'내역'!A:A,"&gt;="&amp;DATE('연간현황'!B3,8,1),'내역'!A:A,"&lt;="&amp;EOMONTH(DATE('연간현황'!B3,8,1),0))),0)</f>
        <v>0</v>
      </c>
      <c r="D11" s="13">
        <f t="shared" si="1"/>
        <v>210000</v>
      </c>
      <c r="E11" s="58">
        <f t="shared" si="2"/>
        <v>0</v>
      </c>
      <c r="F11" s="8" t="str">
        <f t="shared" si="3"/>
        <v>안정</v>
      </c>
      <c r="G11" s="8" t="str">
        <f t="shared" si="4"/>
        <v>░░░░░░░░░░</v>
      </c>
      <c r="I11" s="8">
        <v>3.0</v>
      </c>
      <c r="J11" s="8" t="str">
        <f t="array" ref="J11">INDEX($A$8:$A$22,MATCH(LARGE($E$8:$E$22,3),$E$8:$E$22,0))</f>
        <v>대출</v>
      </c>
      <c r="K11" s="14">
        <f>LARGE($E$8:$E$22,3)</f>
        <v>0</v>
      </c>
      <c r="L11" s="62">
        <f t="array" ref="L11">INDEX($D$8:$D$22,MATCH(LARGE($E$8:$E$22,3),$E$8:$E$22,0))</f>
        <v>2900000</v>
      </c>
    </row>
    <row r="12">
      <c r="A12" s="8" t="s">
        <v>117</v>
      </c>
      <c r="B12" s="13">
        <v>260000.0</v>
      </c>
      <c r="C12" s="13">
        <f>IFERROR(ABS(SUMIFS('내역'!E:E,'내역'!C:C,"생활고정비",'내역'!A:A,"&gt;="&amp;DATE('연간현황'!B3,8,1),'내역'!A:A,"&lt;="&amp;EOMONTH(DATE('연간현황'!B3,8,1),0))),0)</f>
        <v>0</v>
      </c>
      <c r="D12" s="13">
        <f t="shared" si="1"/>
        <v>260000</v>
      </c>
      <c r="E12" s="58">
        <f t="shared" si="2"/>
        <v>0</v>
      </c>
      <c r="F12" s="8" t="str">
        <f t="shared" si="3"/>
        <v>안정</v>
      </c>
      <c r="G12" s="8" t="str">
        <f t="shared" si="4"/>
        <v>░░░░░░░░░░</v>
      </c>
    </row>
    <row r="13">
      <c r="A13" s="8" t="s">
        <v>118</v>
      </c>
      <c r="B13" s="65">
        <v>420000.0</v>
      </c>
      <c r="C13" s="13">
        <f>IFERROR(ABS(SUMIFS('내역'!E:E,'내역'!C:C,"금융고정비",'내역'!A:A,"&gt;="&amp;DATE('연간현황'!B3,8,1),'내역'!A:A,"&lt;="&amp;EOMONTH(DATE('연간현황'!B3,8,1),0))),0)</f>
        <v>0</v>
      </c>
      <c r="D13" s="13">
        <f t="shared" si="1"/>
        <v>420000</v>
      </c>
      <c r="E13" s="58">
        <f t="shared" si="2"/>
        <v>0</v>
      </c>
      <c r="F13" s="8" t="str">
        <f t="shared" si="3"/>
        <v>안정</v>
      </c>
      <c r="G13" s="8" t="str">
        <f t="shared" si="4"/>
        <v>░░░░░░░░░░</v>
      </c>
      <c r="I13" s="10" t="s">
        <v>11</v>
      </c>
    </row>
    <row r="14">
      <c r="A14" s="8" t="s">
        <v>119</v>
      </c>
      <c r="B14" s="13">
        <v>150000.0</v>
      </c>
      <c r="C14" s="13">
        <f>IFERROR(ABS(SUMIFS('내역'!E:E,'내역'!C:C,"교통",'내역'!A:A,"&gt;="&amp;DATE('연간현황'!B3,8,1),'내역'!A:A,"&lt;="&amp;EOMONTH(DATE('연간현황'!B3,8,1),0))),0)</f>
        <v>0</v>
      </c>
      <c r="D14" s="13">
        <f t="shared" si="1"/>
        <v>150000</v>
      </c>
      <c r="E14" s="58">
        <f t="shared" si="2"/>
        <v>0</v>
      </c>
      <c r="F14" s="8" t="str">
        <f t="shared" si="3"/>
        <v>안정</v>
      </c>
      <c r="G14" s="8" t="str">
        <f t="shared" si="4"/>
        <v>░░░░░░░░░░</v>
      </c>
      <c r="I14" s="12" t="s">
        <v>121</v>
      </c>
    </row>
    <row r="15">
      <c r="A15" s="8" t="s">
        <v>122</v>
      </c>
      <c r="B15" s="13">
        <v>800000.0</v>
      </c>
      <c r="C15" s="13">
        <f>IFERROR(ABS(SUMIFS('내역'!E:E,'내역'!C:C,"식비",'내역'!A:A,"&gt;="&amp;DATE('연간현황'!B3,8,1),'내역'!A:A,"&lt;="&amp;EOMONTH(DATE('연간현황'!B3,8,1),0))),0)</f>
        <v>0</v>
      </c>
      <c r="D15" s="13">
        <f t="shared" si="1"/>
        <v>800000</v>
      </c>
      <c r="E15" s="58">
        <f t="shared" si="2"/>
        <v>0</v>
      </c>
      <c r="F15" s="8" t="str">
        <f t="shared" si="3"/>
        <v>안정</v>
      </c>
      <c r="G15" s="8" t="str">
        <f t="shared" si="4"/>
        <v>░░░░░░░░░░</v>
      </c>
      <c r="I15" s="12" t="s">
        <v>123</v>
      </c>
    </row>
    <row r="16">
      <c r="A16" s="8" t="s">
        <v>124</v>
      </c>
      <c r="B16" s="65">
        <v>500000.0</v>
      </c>
      <c r="C16" s="13">
        <f>IFERROR(ABS(SUMIFS('내역'!E:E,'내역'!C:C,"육아",'내역'!A:A,"&gt;="&amp;DATE('연간현황'!B3,8,1),'내역'!A:A,"&lt;="&amp;EOMONTH(DATE('연간현황'!B3,8,1),0))),0)</f>
        <v>0</v>
      </c>
      <c r="D16" s="13">
        <f t="shared" si="1"/>
        <v>500000</v>
      </c>
      <c r="E16" s="58">
        <f t="shared" si="2"/>
        <v>0</v>
      </c>
      <c r="F16" s="8" t="str">
        <f t="shared" si="3"/>
        <v>안정</v>
      </c>
      <c r="G16" s="8" t="str">
        <f t="shared" si="4"/>
        <v>░░░░░░░░░░</v>
      </c>
      <c r="I16" s="12" t="s">
        <v>125</v>
      </c>
    </row>
    <row r="17">
      <c r="A17" s="64" t="s">
        <v>126</v>
      </c>
      <c r="B17" s="65">
        <v>150000.0</v>
      </c>
      <c r="C17" s="13">
        <f>MAX(0, IFERROR(ABS(SUMIFS('내역'!E:E,'내역'!C:C,"의료비",'내역'!A:A,"&gt;="&amp;DATE('연간현황'!B3,8,1),'내역'!A:A,"&lt;="&amp;EOMONTH(DATE('연간현황'!B3,8,1),0)))-ABS(SUMIFS('내역'!E:E,'내역'!C:C,"실비",'내역'!A:A,"&gt;="&amp;DATE('연간현황'!B3,8,1),'내역'!A:A,"&lt;="&amp;EOMONTH(DATE('연간현황'!B3,8,1),0))),0))</f>
        <v>0</v>
      </c>
      <c r="D17" s="13">
        <f t="shared" si="1"/>
        <v>150000</v>
      </c>
      <c r="E17" s="58">
        <f t="shared" si="2"/>
        <v>0</v>
      </c>
      <c r="F17" s="8" t="str">
        <f t="shared" si="3"/>
        <v>안정</v>
      </c>
      <c r="G17" s="8" t="str">
        <f t="shared" si="4"/>
        <v>░░░░░░░░░░</v>
      </c>
      <c r="I17" s="12" t="s">
        <v>127</v>
      </c>
    </row>
    <row r="18">
      <c r="A18" s="8" t="s">
        <v>128</v>
      </c>
      <c r="B18" s="13">
        <v>300000.0</v>
      </c>
      <c r="C18" s="13">
        <f>IFERROR(ABS(SUMIFS('내역'!E:E,'내역'!C:C,"기타생활비",'내역'!A:A,"&gt;="&amp;DATE('연간현황'!B3,8,1),'내역'!A:A,"&lt;="&amp;EOMONTH(DATE('연간현황'!B3,8,1),0))),0)</f>
        <v>0</v>
      </c>
      <c r="D18" s="13">
        <f t="shared" si="1"/>
        <v>300000</v>
      </c>
      <c r="E18" s="58">
        <f t="shared" si="2"/>
        <v>0</v>
      </c>
      <c r="F18" s="8" t="str">
        <f t="shared" si="3"/>
        <v>안정</v>
      </c>
      <c r="G18" s="8" t="str">
        <f t="shared" si="4"/>
        <v>░░░░░░░░░░</v>
      </c>
    </row>
    <row r="19">
      <c r="A19" s="8" t="s">
        <v>129</v>
      </c>
      <c r="B19" s="13">
        <v>100000.0</v>
      </c>
      <c r="C19" s="13">
        <f>IFERROR(ABS(SUMIFS('내역'!E:E,'내역'!C:C,"이벤트",'내역'!A:A,"&gt;="&amp;DATE('연간현황'!B3,8,1),'내역'!A:A,"&lt;="&amp;EOMONTH(DATE('연간현황'!B3,8,1),0))),0)</f>
        <v>0</v>
      </c>
      <c r="D19" s="13">
        <f t="shared" si="1"/>
        <v>100000</v>
      </c>
      <c r="E19" s="58">
        <f t="shared" si="2"/>
        <v>0</v>
      </c>
      <c r="F19" s="8" t="str">
        <f t="shared" si="3"/>
        <v>안정</v>
      </c>
      <c r="G19" s="8" t="str">
        <f t="shared" si="4"/>
        <v>░░░░░░░░░░</v>
      </c>
    </row>
    <row r="20">
      <c r="A20" s="64" t="s">
        <v>136</v>
      </c>
      <c r="B20" s="65">
        <v>0.0</v>
      </c>
      <c r="C20" s="13">
        <f>IFERROR(ABS(SUMIFS('내역'!E:E,'내역'!C:C,"세금",'내역'!A:A,"&gt;="&amp;DATE('연간현황'!B3,8,1),'내역'!A:A,"&lt;="&amp;EOMONTH(DATE('연간현황'!B3,8,1),0))),0)</f>
        <v>0</v>
      </c>
      <c r="D20" s="13">
        <f t="shared" si="1"/>
        <v>0</v>
      </c>
      <c r="E20" s="58">
        <f t="shared" si="2"/>
        <v>0</v>
      </c>
      <c r="F20" s="8" t="str">
        <f t="shared" si="3"/>
        <v>안정</v>
      </c>
      <c r="G20" s="8" t="str">
        <f t="shared" si="4"/>
        <v>░░░░░░░░░░</v>
      </c>
    </row>
    <row r="21">
      <c r="A21" s="8" t="s">
        <v>130</v>
      </c>
      <c r="B21" s="65">
        <v>200000.0</v>
      </c>
      <c r="C21" s="13">
        <f>IFERROR(ABS(SUMIFS('내역'!E:E,'내역'!C:C,"기석용돈",'내역'!A:A,"&gt;="&amp;DATE('연간현황'!B3,8,1),'내역'!A:A,"&lt;="&amp;EOMONTH(DATE('연간현황'!B3,8,1),0))),0)</f>
        <v>0</v>
      </c>
      <c r="D21" s="13">
        <f t="shared" si="1"/>
        <v>200000</v>
      </c>
      <c r="E21" s="58">
        <f t="shared" si="2"/>
        <v>0</v>
      </c>
      <c r="F21" s="8" t="str">
        <f t="shared" si="3"/>
        <v>안정</v>
      </c>
      <c r="G21" s="8" t="str">
        <f t="shared" si="4"/>
        <v>░░░░░░░░░░</v>
      </c>
    </row>
    <row r="22">
      <c r="A22" s="8" t="s">
        <v>131</v>
      </c>
      <c r="B22" s="65">
        <v>200000.0</v>
      </c>
      <c r="C22" s="13">
        <f>IFERROR(ABS(SUMIFS('내역'!E:E,'내역'!C:C,"승주용돈",'내역'!A:A,"&gt;="&amp;DATE('연간현황'!B3,8,1),'내역'!A:A,"&lt;="&amp;EOMONTH(DATE('연간현황'!B3,8,1),0))),0)</f>
        <v>0</v>
      </c>
      <c r="D22" s="13">
        <f t="shared" si="1"/>
        <v>200000</v>
      </c>
      <c r="E22" s="58">
        <f t="shared" si="2"/>
        <v>0</v>
      </c>
      <c r="F22" s="8" t="str">
        <f t="shared" si="3"/>
        <v>안정</v>
      </c>
      <c r="G22" s="8" t="str">
        <f t="shared" si="4"/>
        <v>░░░░░░░░░░</v>
      </c>
    </row>
    <row r="23" ht="15.75" customHeight="1">
      <c r="A23" s="66" t="s">
        <v>115</v>
      </c>
      <c r="B23" s="67">
        <f t="shared" ref="B23:D23" si="5">SUM(B8:B22)</f>
        <v>6880000</v>
      </c>
      <c r="C23" s="67">
        <f t="shared" si="5"/>
        <v>0</v>
      </c>
      <c r="D23" s="67">
        <f t="shared" si="5"/>
        <v>6880000</v>
      </c>
      <c r="E23" s="68">
        <f t="shared" si="2"/>
        <v>0</v>
      </c>
      <c r="F23" s="66" t="str">
        <f t="shared" si="3"/>
        <v>안정</v>
      </c>
      <c r="G23" s="66" t="str">
        <f t="shared" si="4"/>
        <v>░░░░░░░░░░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D8:D23">
    <cfRule type="cellIs" dxfId="0" priority="1" operator="lessThan">
      <formula>0</formula>
    </cfRule>
  </conditionalFormatting>
  <conditionalFormatting sqref="D8:D23">
    <cfRule type="cellIs" dxfId="1" priority="2" operator="greaterThanOrEqual">
      <formula>0</formula>
    </cfRule>
  </conditionalFormatting>
  <conditionalFormatting sqref="D8:D23">
    <cfRule type="cellIs" dxfId="2" priority="3" operator="lessThan">
      <formula>0</formula>
    </cfRule>
  </conditionalFormatting>
  <conditionalFormatting sqref="F8:F23">
    <cfRule type="expression" dxfId="0" priority="4">
      <formula>$F8="초과"</formula>
    </cfRule>
  </conditionalFormatting>
  <conditionalFormatting sqref="F8:F23">
    <cfRule type="expression" dxfId="3" priority="5">
      <formula>$F8="주의"</formula>
    </cfRule>
  </conditionalFormatting>
  <conditionalFormatting sqref="F8:F23">
    <cfRule type="expression" dxfId="1" priority="6">
      <formula>$F8="안정"</formula>
    </cfRule>
  </conditionalFormatting>
  <conditionalFormatting sqref="F8:F23">
    <cfRule type="cellIs" dxfId="2" priority="7" operator="equal">
      <formula>"초과"</formula>
    </cfRule>
  </conditionalFormatting>
  <conditionalFormatting sqref="F8:F23">
    <cfRule type="cellIs" dxfId="0" priority="8" operator="equal">
      <formula>"주의"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ADCC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4.0"/>
    <col customWidth="1" min="5" max="5" width="11.0"/>
    <col customWidth="1" min="6" max="6" width="10.0"/>
    <col customWidth="1" min="7" max="7" width="18.0"/>
    <col customWidth="1" min="8" max="8" width="3.0"/>
    <col customWidth="1" min="9" max="12" width="18.0"/>
    <col customWidth="1" min="13" max="26" width="8.71"/>
  </cols>
  <sheetData>
    <row r="1">
      <c r="A1" s="7" t="s">
        <v>138</v>
      </c>
    </row>
    <row r="2">
      <c r="A2" s="3" t="s">
        <v>98</v>
      </c>
    </row>
    <row r="4">
      <c r="A4" s="22" t="s">
        <v>99</v>
      </c>
      <c r="B4" s="24">
        <f>B23</f>
        <v>6880000</v>
      </c>
      <c r="C4" s="50" t="s">
        <v>102</v>
      </c>
      <c r="D4" s="24">
        <f>C23</f>
        <v>0</v>
      </c>
      <c r="E4" s="52" t="s">
        <v>103</v>
      </c>
      <c r="F4" s="53">
        <f>D23</f>
        <v>6880000</v>
      </c>
      <c r="G4" s="22" t="s">
        <v>104</v>
      </c>
      <c r="H4" s="54">
        <f>IFERROR(C23/B23,0)</f>
        <v>0</v>
      </c>
    </row>
    <row r="7">
      <c r="A7" s="55" t="s">
        <v>40</v>
      </c>
      <c r="B7" s="55" t="s">
        <v>105</v>
      </c>
      <c r="C7" s="55" t="s">
        <v>106</v>
      </c>
      <c r="D7" s="55" t="s">
        <v>107</v>
      </c>
      <c r="E7" s="55" t="s">
        <v>63</v>
      </c>
      <c r="F7" s="55" t="s">
        <v>108</v>
      </c>
      <c r="G7" s="55" t="s">
        <v>109</v>
      </c>
      <c r="I7" s="56" t="s">
        <v>110</v>
      </c>
    </row>
    <row r="8">
      <c r="A8" s="8" t="s">
        <v>111</v>
      </c>
      <c r="B8" s="13">
        <v>2900000.0</v>
      </c>
      <c r="C8" s="13">
        <f>IFERROR(ABS(SUMIFS('내역'!E:E,'내역'!C:C,"대출",'내역'!A:A,"&gt;="&amp;DATE('연간현황'!B3,9,1),'내역'!A:A,"&lt;="&amp;EOMONTH(DATE('연간현황'!B3,9,1),0))),0)</f>
        <v>0</v>
      </c>
      <c r="D8" s="13">
        <f t="shared" ref="D8:D22" si="1">B8-C8</f>
        <v>2900000</v>
      </c>
      <c r="E8" s="58">
        <f t="shared" ref="E8:E23" si="2">IFERROR(C8/B8,0)</f>
        <v>0</v>
      </c>
      <c r="F8" s="8" t="str">
        <f t="shared" ref="F8:F23" si="3">IF(E8&gt;=1,"초과",IF(E8&gt;=0.8,"주의","안정"))</f>
        <v>안정</v>
      </c>
      <c r="G8" s="8" t="str">
        <f t="shared" ref="G8:G23" si="4">REPT("█",ROUND(MIN(1,E8)*10,0))&amp;REPT("░",10-ROUND(MIN(1,E8)*10,0))</f>
        <v>░░░░░░░░░░</v>
      </c>
      <c r="I8" s="61" t="s">
        <v>112</v>
      </c>
      <c r="J8" s="61" t="s">
        <v>40</v>
      </c>
      <c r="K8" s="61" t="s">
        <v>63</v>
      </c>
      <c r="L8" s="61" t="s">
        <v>107</v>
      </c>
    </row>
    <row r="9">
      <c r="A9" s="8" t="s">
        <v>113</v>
      </c>
      <c r="B9" s="13">
        <v>550000.0</v>
      </c>
      <c r="C9" s="13">
        <f>IFERROR(ABS(SUMIFS('내역'!E:E,'내역'!C:C,"보험",'내역'!A:A,"&gt;="&amp;DATE('연간현황'!B3,9,1),'내역'!A:A,"&lt;="&amp;EOMONTH(DATE('연간현황'!B3,9,1),0))),0)</f>
        <v>0</v>
      </c>
      <c r="D9" s="13">
        <f t="shared" si="1"/>
        <v>550000</v>
      </c>
      <c r="E9" s="58">
        <f t="shared" si="2"/>
        <v>0</v>
      </c>
      <c r="F9" s="8" t="str">
        <f t="shared" si="3"/>
        <v>안정</v>
      </c>
      <c r="G9" s="8" t="str">
        <f t="shared" si="4"/>
        <v>░░░░░░░░░░</v>
      </c>
      <c r="I9" s="8">
        <v>1.0</v>
      </c>
      <c r="J9" s="8" t="str">
        <f t="array" ref="J9">INDEX($A$8:$A$22,MATCH(LARGE($E$8:$E$22,1),$E$8:$E$22,0))</f>
        <v>대출</v>
      </c>
      <c r="K9" s="14">
        <f>LARGE($E$8:$E$22,1)</f>
        <v>0</v>
      </c>
      <c r="L9" s="62">
        <f t="array" ref="L9">INDEX($D$8:$D$22,MATCH(LARGE($E$8:$E$22,1),$E$8:$E$22,0))</f>
        <v>2900000</v>
      </c>
    </row>
    <row r="10">
      <c r="A10" s="8" t="s">
        <v>114</v>
      </c>
      <c r="B10" s="13">
        <v>140000.0</v>
      </c>
      <c r="C10" s="13">
        <f>IFERROR(ABS(SUMIFS('내역'!E:E,'내역'!C:C,"통신비",'내역'!A:A,"&gt;="&amp;DATE('연간현황'!B3,9,1),'내역'!A:A,"&lt;="&amp;EOMONTH(DATE('연간현황'!B3,9,1),0))),0)</f>
        <v>0</v>
      </c>
      <c r="D10" s="13">
        <f t="shared" si="1"/>
        <v>140000</v>
      </c>
      <c r="E10" s="58">
        <f t="shared" si="2"/>
        <v>0</v>
      </c>
      <c r="F10" s="8" t="str">
        <f t="shared" si="3"/>
        <v>안정</v>
      </c>
      <c r="G10" s="8" t="str">
        <f t="shared" si="4"/>
        <v>░░░░░░░░░░</v>
      </c>
      <c r="I10" s="8">
        <v>2.0</v>
      </c>
      <c r="J10" s="8" t="str">
        <f t="array" ref="J10">INDEX($A$8:$A$22,MATCH(LARGE($E$8:$E$22,2),$E$8:$E$22,0))</f>
        <v>대출</v>
      </c>
      <c r="K10" s="14">
        <f>LARGE($E$8:$E$22,2)</f>
        <v>0</v>
      </c>
      <c r="L10" s="62">
        <f t="array" ref="L10">INDEX($D$8:$D$22,MATCH(LARGE($E$8:$E$22,2),$E$8:$E$22,0))</f>
        <v>2900000</v>
      </c>
    </row>
    <row r="11">
      <c r="A11" s="8" t="s">
        <v>116</v>
      </c>
      <c r="B11" s="13">
        <v>210000.0</v>
      </c>
      <c r="C11" s="13">
        <f>IFERROR(ABS(SUMIFS('내역'!E:E,'내역'!C:C,"주거비",'내역'!A:A,"&gt;="&amp;DATE('연간현황'!B3,9,1),'내역'!A:A,"&lt;="&amp;EOMONTH(DATE('연간현황'!B3,9,1),0))),0)</f>
        <v>0</v>
      </c>
      <c r="D11" s="13">
        <f t="shared" si="1"/>
        <v>210000</v>
      </c>
      <c r="E11" s="58">
        <f t="shared" si="2"/>
        <v>0</v>
      </c>
      <c r="F11" s="8" t="str">
        <f t="shared" si="3"/>
        <v>안정</v>
      </c>
      <c r="G11" s="8" t="str">
        <f t="shared" si="4"/>
        <v>░░░░░░░░░░</v>
      </c>
      <c r="I11" s="8">
        <v>3.0</v>
      </c>
      <c r="J11" s="8" t="str">
        <f t="array" ref="J11">INDEX($A$8:$A$22,MATCH(LARGE($E$8:$E$22,3),$E$8:$E$22,0))</f>
        <v>대출</v>
      </c>
      <c r="K11" s="14">
        <f>LARGE($E$8:$E$22,3)</f>
        <v>0</v>
      </c>
      <c r="L11" s="62">
        <f t="array" ref="L11">INDEX($D$8:$D$22,MATCH(LARGE($E$8:$E$22,3),$E$8:$E$22,0))</f>
        <v>2900000</v>
      </c>
    </row>
    <row r="12">
      <c r="A12" s="8" t="s">
        <v>117</v>
      </c>
      <c r="B12" s="13">
        <v>260000.0</v>
      </c>
      <c r="C12" s="13">
        <f>IFERROR(ABS(SUMIFS('내역'!E:E,'내역'!C:C,"생활고정비",'내역'!A:A,"&gt;="&amp;DATE('연간현황'!B3,9,1),'내역'!A:A,"&lt;="&amp;EOMONTH(DATE('연간현황'!B3,9,1),0))),0)</f>
        <v>0</v>
      </c>
      <c r="D12" s="13">
        <f t="shared" si="1"/>
        <v>260000</v>
      </c>
      <c r="E12" s="58">
        <f t="shared" si="2"/>
        <v>0</v>
      </c>
      <c r="F12" s="8" t="str">
        <f t="shared" si="3"/>
        <v>안정</v>
      </c>
      <c r="G12" s="8" t="str">
        <f t="shared" si="4"/>
        <v>░░░░░░░░░░</v>
      </c>
    </row>
    <row r="13">
      <c r="A13" s="8" t="s">
        <v>118</v>
      </c>
      <c r="B13" s="65">
        <v>420000.0</v>
      </c>
      <c r="C13" s="13">
        <f>IFERROR(ABS(SUMIFS('내역'!E:E,'내역'!C:C,"금융고정비",'내역'!A:A,"&gt;="&amp;DATE('연간현황'!B3,9,1),'내역'!A:A,"&lt;="&amp;EOMONTH(DATE('연간현황'!B3,9,1),0))),0)</f>
        <v>0</v>
      </c>
      <c r="D13" s="13">
        <f t="shared" si="1"/>
        <v>420000</v>
      </c>
      <c r="E13" s="58">
        <f t="shared" si="2"/>
        <v>0</v>
      </c>
      <c r="F13" s="8" t="str">
        <f t="shared" si="3"/>
        <v>안정</v>
      </c>
      <c r="G13" s="8" t="str">
        <f t="shared" si="4"/>
        <v>░░░░░░░░░░</v>
      </c>
      <c r="I13" s="10" t="s">
        <v>11</v>
      </c>
    </row>
    <row r="14">
      <c r="A14" s="8" t="s">
        <v>119</v>
      </c>
      <c r="B14" s="13">
        <v>150000.0</v>
      </c>
      <c r="C14" s="13">
        <f>IFERROR(ABS(SUMIFS('내역'!E:E,'내역'!C:C,"교통",'내역'!A:A,"&gt;="&amp;DATE('연간현황'!B3,9,1),'내역'!A:A,"&lt;="&amp;EOMONTH(DATE('연간현황'!B3,9,1),0))),0)</f>
        <v>0</v>
      </c>
      <c r="D14" s="13">
        <f t="shared" si="1"/>
        <v>150000</v>
      </c>
      <c r="E14" s="58">
        <f t="shared" si="2"/>
        <v>0</v>
      </c>
      <c r="F14" s="8" t="str">
        <f t="shared" si="3"/>
        <v>안정</v>
      </c>
      <c r="G14" s="8" t="str">
        <f t="shared" si="4"/>
        <v>░░░░░░░░░░</v>
      </c>
      <c r="I14" s="12" t="s">
        <v>121</v>
      </c>
    </row>
    <row r="15">
      <c r="A15" s="8" t="s">
        <v>122</v>
      </c>
      <c r="B15" s="13">
        <v>800000.0</v>
      </c>
      <c r="C15" s="13">
        <f>IFERROR(ABS(SUMIFS('내역'!E:E,'내역'!C:C,"식비",'내역'!A:A,"&gt;="&amp;DATE('연간현황'!B3,9,1),'내역'!A:A,"&lt;="&amp;EOMONTH(DATE('연간현황'!B3,9,1),0))),0)</f>
        <v>0</v>
      </c>
      <c r="D15" s="13">
        <f t="shared" si="1"/>
        <v>800000</v>
      </c>
      <c r="E15" s="58">
        <f t="shared" si="2"/>
        <v>0</v>
      </c>
      <c r="F15" s="8" t="str">
        <f t="shared" si="3"/>
        <v>안정</v>
      </c>
      <c r="G15" s="8" t="str">
        <f t="shared" si="4"/>
        <v>░░░░░░░░░░</v>
      </c>
      <c r="I15" s="12" t="s">
        <v>123</v>
      </c>
    </row>
    <row r="16">
      <c r="A16" s="8" t="s">
        <v>124</v>
      </c>
      <c r="B16" s="65">
        <v>500000.0</v>
      </c>
      <c r="C16" s="13">
        <f>IFERROR(ABS(SUMIFS('내역'!E:E,'내역'!C:C,"육아",'내역'!A:A,"&gt;="&amp;DATE('연간현황'!B3,9,1),'내역'!A:A,"&lt;="&amp;EOMONTH(DATE('연간현황'!B3,9,1),0))),0)</f>
        <v>0</v>
      </c>
      <c r="D16" s="13">
        <f t="shared" si="1"/>
        <v>500000</v>
      </c>
      <c r="E16" s="58">
        <f t="shared" si="2"/>
        <v>0</v>
      </c>
      <c r="F16" s="8" t="str">
        <f t="shared" si="3"/>
        <v>안정</v>
      </c>
      <c r="G16" s="8" t="str">
        <f t="shared" si="4"/>
        <v>░░░░░░░░░░</v>
      </c>
      <c r="I16" s="12" t="s">
        <v>125</v>
      </c>
    </row>
    <row r="17">
      <c r="A17" s="64" t="s">
        <v>126</v>
      </c>
      <c r="B17" s="65">
        <v>150000.0</v>
      </c>
      <c r="C17" s="13">
        <f>MAX(0, IFERROR(ABS(SUMIFS('내역'!E:E,'내역'!C:C,"의료비",'내역'!A:A,"&gt;="&amp;DATE('연간현황'!B3,9,1),'내역'!A:A,"&lt;="&amp;EOMONTH(DATE('연간현황'!B3,9,1),0)))-ABS(SUMIFS('내역'!E:E,'내역'!C:C,"실비",'내역'!A:A,"&gt;="&amp;DATE('연간현황'!B3,9,1),'내역'!A:A,"&lt;="&amp;EOMONTH(DATE('연간현황'!B3,9,1),0))),0))</f>
        <v>0</v>
      </c>
      <c r="D17" s="13">
        <f t="shared" si="1"/>
        <v>150000</v>
      </c>
      <c r="E17" s="58">
        <f t="shared" si="2"/>
        <v>0</v>
      </c>
      <c r="F17" s="8" t="str">
        <f t="shared" si="3"/>
        <v>안정</v>
      </c>
      <c r="G17" s="8" t="str">
        <f t="shared" si="4"/>
        <v>░░░░░░░░░░</v>
      </c>
      <c r="I17" s="12" t="s">
        <v>127</v>
      </c>
    </row>
    <row r="18">
      <c r="A18" s="8" t="s">
        <v>128</v>
      </c>
      <c r="B18" s="13">
        <v>300000.0</v>
      </c>
      <c r="C18" s="13">
        <f>IFERROR(ABS(SUMIFS('내역'!E:E,'내역'!C:C,"기타생활비",'내역'!A:A,"&gt;="&amp;DATE('연간현황'!B3,9,1),'내역'!A:A,"&lt;="&amp;EOMONTH(DATE('연간현황'!B3,9,1),0))),0)</f>
        <v>0</v>
      </c>
      <c r="D18" s="13">
        <f t="shared" si="1"/>
        <v>300000</v>
      </c>
      <c r="E18" s="58">
        <f t="shared" si="2"/>
        <v>0</v>
      </c>
      <c r="F18" s="8" t="str">
        <f t="shared" si="3"/>
        <v>안정</v>
      </c>
      <c r="G18" s="8" t="str">
        <f t="shared" si="4"/>
        <v>░░░░░░░░░░</v>
      </c>
    </row>
    <row r="19">
      <c r="A19" s="8" t="s">
        <v>129</v>
      </c>
      <c r="B19" s="13">
        <v>100000.0</v>
      </c>
      <c r="C19" s="13">
        <f>IFERROR(ABS(SUMIFS('내역'!E:E,'내역'!C:C,"이벤트",'내역'!A:A,"&gt;="&amp;DATE('연간현황'!B3,9,1),'내역'!A:A,"&lt;="&amp;EOMONTH(DATE('연간현황'!B3,9,1),0))),0)</f>
        <v>0</v>
      </c>
      <c r="D19" s="13">
        <f t="shared" si="1"/>
        <v>100000</v>
      </c>
      <c r="E19" s="58">
        <f t="shared" si="2"/>
        <v>0</v>
      </c>
      <c r="F19" s="8" t="str">
        <f t="shared" si="3"/>
        <v>안정</v>
      </c>
      <c r="G19" s="8" t="str">
        <f t="shared" si="4"/>
        <v>░░░░░░░░░░</v>
      </c>
    </row>
    <row r="20">
      <c r="A20" s="64" t="s">
        <v>136</v>
      </c>
      <c r="B20" s="65">
        <v>0.0</v>
      </c>
      <c r="C20" s="13">
        <f>IFERROR(ABS(SUMIFS('내역'!E:E,'내역'!C:C,"세금",'내역'!A:A,"&gt;="&amp;DATE('연간현황'!B3,9,1),'내역'!A:A,"&lt;="&amp;EOMONTH(DATE('연간현황'!B3,9,1),0))),0)</f>
        <v>0</v>
      </c>
      <c r="D20" s="13">
        <f t="shared" si="1"/>
        <v>0</v>
      </c>
      <c r="E20" s="58">
        <f t="shared" si="2"/>
        <v>0</v>
      </c>
      <c r="F20" s="8" t="str">
        <f t="shared" si="3"/>
        <v>안정</v>
      </c>
      <c r="G20" s="8" t="str">
        <f t="shared" si="4"/>
        <v>░░░░░░░░░░</v>
      </c>
    </row>
    <row r="21">
      <c r="A21" s="8" t="s">
        <v>130</v>
      </c>
      <c r="B21" s="65">
        <v>200000.0</v>
      </c>
      <c r="C21" s="13">
        <f>IFERROR(ABS(SUMIFS('내역'!E:E,'내역'!C:C,"기석용돈",'내역'!A:A,"&gt;="&amp;DATE('연간현황'!B3,9,1),'내역'!A:A,"&lt;="&amp;EOMONTH(DATE('연간현황'!B3,9,1),0))),0)</f>
        <v>0</v>
      </c>
      <c r="D21" s="13">
        <f t="shared" si="1"/>
        <v>200000</v>
      </c>
      <c r="E21" s="58">
        <f t="shared" si="2"/>
        <v>0</v>
      </c>
      <c r="F21" s="8" t="str">
        <f t="shared" si="3"/>
        <v>안정</v>
      </c>
      <c r="G21" s="8" t="str">
        <f t="shared" si="4"/>
        <v>░░░░░░░░░░</v>
      </c>
    </row>
    <row r="22">
      <c r="A22" s="8" t="s">
        <v>131</v>
      </c>
      <c r="B22" s="65">
        <v>200000.0</v>
      </c>
      <c r="C22" s="13">
        <f>IFERROR(ABS(SUMIFS('내역'!E:E,'내역'!C:C,"승주용돈",'내역'!A:A,"&gt;="&amp;DATE('연간현황'!B3,9,1),'내역'!A:A,"&lt;="&amp;EOMONTH(DATE('연간현황'!B3,9,1),0))),0)</f>
        <v>0</v>
      </c>
      <c r="D22" s="13">
        <f t="shared" si="1"/>
        <v>200000</v>
      </c>
      <c r="E22" s="58">
        <f t="shared" si="2"/>
        <v>0</v>
      </c>
      <c r="F22" s="8" t="str">
        <f t="shared" si="3"/>
        <v>안정</v>
      </c>
      <c r="G22" s="8" t="str">
        <f t="shared" si="4"/>
        <v>░░░░░░░░░░</v>
      </c>
    </row>
    <row r="23" ht="15.75" customHeight="1">
      <c r="A23" s="66" t="s">
        <v>115</v>
      </c>
      <c r="B23" s="67">
        <f t="shared" ref="B23:D23" si="5">SUM(B8:B22)</f>
        <v>6880000</v>
      </c>
      <c r="C23" s="67">
        <f t="shared" si="5"/>
        <v>0</v>
      </c>
      <c r="D23" s="67">
        <f t="shared" si="5"/>
        <v>6880000</v>
      </c>
      <c r="E23" s="68">
        <f t="shared" si="2"/>
        <v>0</v>
      </c>
      <c r="F23" s="66" t="str">
        <f t="shared" si="3"/>
        <v>안정</v>
      </c>
      <c r="G23" s="66" t="str">
        <f t="shared" si="4"/>
        <v>░░░░░░░░░░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D8:D23">
    <cfRule type="cellIs" dxfId="0" priority="1" operator="lessThan">
      <formula>0</formula>
    </cfRule>
  </conditionalFormatting>
  <conditionalFormatting sqref="D8:D23">
    <cfRule type="cellIs" dxfId="1" priority="2" operator="greaterThanOrEqual">
      <formula>0</formula>
    </cfRule>
  </conditionalFormatting>
  <conditionalFormatting sqref="D8:D23">
    <cfRule type="cellIs" dxfId="2" priority="3" operator="lessThan">
      <formula>0</formula>
    </cfRule>
  </conditionalFormatting>
  <conditionalFormatting sqref="F8:F23">
    <cfRule type="expression" dxfId="0" priority="4">
      <formula>$F8="초과"</formula>
    </cfRule>
  </conditionalFormatting>
  <conditionalFormatting sqref="F8:F23">
    <cfRule type="expression" dxfId="3" priority="5">
      <formula>$F8="주의"</formula>
    </cfRule>
  </conditionalFormatting>
  <conditionalFormatting sqref="F8:F23">
    <cfRule type="expression" dxfId="1" priority="6">
      <formula>$F8="안정"</formula>
    </cfRule>
  </conditionalFormatting>
  <conditionalFormatting sqref="F8:F23">
    <cfRule type="cellIs" dxfId="2" priority="7" operator="equal">
      <formula>"초과"</formula>
    </cfRule>
  </conditionalFormatting>
  <conditionalFormatting sqref="F8:F23">
    <cfRule type="cellIs" dxfId="0" priority="8" operator="equal">
      <formula>"주의"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ADCC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4.0"/>
    <col customWidth="1" min="5" max="5" width="11.0"/>
    <col customWidth="1" min="6" max="6" width="10.0"/>
    <col customWidth="1" min="7" max="7" width="18.0"/>
    <col customWidth="1" min="8" max="8" width="3.0"/>
    <col customWidth="1" min="9" max="12" width="18.0"/>
    <col customWidth="1" min="13" max="26" width="8.71"/>
  </cols>
  <sheetData>
    <row r="1">
      <c r="A1" s="7" t="s">
        <v>139</v>
      </c>
    </row>
    <row r="2">
      <c r="A2" s="3" t="s">
        <v>98</v>
      </c>
    </row>
    <row r="4">
      <c r="A4" s="22" t="s">
        <v>99</v>
      </c>
      <c r="B4" s="24">
        <f>B23</f>
        <v>6880000</v>
      </c>
      <c r="C4" s="50" t="s">
        <v>102</v>
      </c>
      <c r="D4" s="24">
        <f>C23</f>
        <v>0</v>
      </c>
      <c r="E4" s="52" t="s">
        <v>103</v>
      </c>
      <c r="F4" s="53">
        <f>D23</f>
        <v>6880000</v>
      </c>
      <c r="G4" s="22" t="s">
        <v>104</v>
      </c>
      <c r="H4" s="54">
        <f>IFERROR(C23/B23,0)</f>
        <v>0</v>
      </c>
    </row>
    <row r="7">
      <c r="A7" s="55" t="s">
        <v>40</v>
      </c>
      <c r="B7" s="55" t="s">
        <v>105</v>
      </c>
      <c r="C7" s="55" t="s">
        <v>106</v>
      </c>
      <c r="D7" s="55" t="s">
        <v>107</v>
      </c>
      <c r="E7" s="55" t="s">
        <v>63</v>
      </c>
      <c r="F7" s="55" t="s">
        <v>108</v>
      </c>
      <c r="G7" s="55" t="s">
        <v>109</v>
      </c>
      <c r="I7" s="56" t="s">
        <v>110</v>
      </c>
    </row>
    <row r="8">
      <c r="A8" s="8" t="s">
        <v>111</v>
      </c>
      <c r="B8" s="13">
        <v>2900000.0</v>
      </c>
      <c r="C8" s="13">
        <f>IFERROR(ABS(SUMIFS('내역'!E:E,'내역'!C:C,"대출",'내역'!A:A,"&gt;="&amp;DATE('연간현황'!B3,10,1),'내역'!A:A,"&lt;="&amp;EOMONTH(DATE('연간현황'!B3,10,1),0))),0)</f>
        <v>0</v>
      </c>
      <c r="D8" s="13">
        <f t="shared" ref="D8:D22" si="1">B8-C8</f>
        <v>2900000</v>
      </c>
      <c r="E8" s="58">
        <f t="shared" ref="E8:E23" si="2">IFERROR(C8/B8,0)</f>
        <v>0</v>
      </c>
      <c r="F8" s="8" t="str">
        <f t="shared" ref="F8:F23" si="3">IF(E8&gt;=1,"초과",IF(E8&gt;=0.8,"주의","안정"))</f>
        <v>안정</v>
      </c>
      <c r="G8" s="8" t="str">
        <f t="shared" ref="G8:G23" si="4">REPT("█",ROUND(MIN(1,E8)*10,0))&amp;REPT("░",10-ROUND(MIN(1,E8)*10,0))</f>
        <v>░░░░░░░░░░</v>
      </c>
      <c r="I8" s="61" t="s">
        <v>112</v>
      </c>
      <c r="J8" s="61" t="s">
        <v>40</v>
      </c>
      <c r="K8" s="61" t="s">
        <v>63</v>
      </c>
      <c r="L8" s="61" t="s">
        <v>107</v>
      </c>
    </row>
    <row r="9">
      <c r="A9" s="8" t="s">
        <v>113</v>
      </c>
      <c r="B9" s="13">
        <v>550000.0</v>
      </c>
      <c r="C9" s="13">
        <f>IFERROR(ABS(SUMIFS('내역'!E:E,'내역'!C:C,"보험",'내역'!A:A,"&gt;="&amp;DATE('연간현황'!B3,10,1),'내역'!A:A,"&lt;="&amp;EOMONTH(DATE('연간현황'!B3,10,1),0))),0)</f>
        <v>0</v>
      </c>
      <c r="D9" s="13">
        <f t="shared" si="1"/>
        <v>550000</v>
      </c>
      <c r="E9" s="58">
        <f t="shared" si="2"/>
        <v>0</v>
      </c>
      <c r="F9" s="8" t="str">
        <f t="shared" si="3"/>
        <v>안정</v>
      </c>
      <c r="G9" s="8" t="str">
        <f t="shared" si="4"/>
        <v>░░░░░░░░░░</v>
      </c>
      <c r="I9" s="8">
        <v>1.0</v>
      </c>
      <c r="J9" s="8" t="str">
        <f t="array" ref="J9">INDEX($A$8:$A$22,MATCH(LARGE($E$8:$E$22,1),$E$8:$E$22,0))</f>
        <v>대출</v>
      </c>
      <c r="K9" s="14">
        <f>LARGE($E$8:$E$22,1)</f>
        <v>0</v>
      </c>
      <c r="L9" s="62">
        <f t="array" ref="L9">INDEX($D$8:$D$22,MATCH(LARGE($E$8:$E$22,1),$E$8:$E$22,0))</f>
        <v>2900000</v>
      </c>
    </row>
    <row r="10">
      <c r="A10" s="8" t="s">
        <v>114</v>
      </c>
      <c r="B10" s="13">
        <v>140000.0</v>
      </c>
      <c r="C10" s="13">
        <f>IFERROR(ABS(SUMIFS('내역'!E:E,'내역'!C:C,"통신비",'내역'!A:A,"&gt;="&amp;DATE('연간현황'!B3,10,1),'내역'!A:A,"&lt;="&amp;EOMONTH(DATE('연간현황'!B3,10,1),0))),0)</f>
        <v>0</v>
      </c>
      <c r="D10" s="13">
        <f t="shared" si="1"/>
        <v>140000</v>
      </c>
      <c r="E10" s="58">
        <f t="shared" si="2"/>
        <v>0</v>
      </c>
      <c r="F10" s="8" t="str">
        <f t="shared" si="3"/>
        <v>안정</v>
      </c>
      <c r="G10" s="8" t="str">
        <f t="shared" si="4"/>
        <v>░░░░░░░░░░</v>
      </c>
      <c r="I10" s="8">
        <v>2.0</v>
      </c>
      <c r="J10" s="8" t="str">
        <f t="array" ref="J10">INDEX($A$8:$A$22,MATCH(LARGE($E$8:$E$22,2),$E$8:$E$22,0))</f>
        <v>대출</v>
      </c>
      <c r="K10" s="14">
        <f>LARGE($E$8:$E$22,2)</f>
        <v>0</v>
      </c>
      <c r="L10" s="62">
        <f t="array" ref="L10">INDEX($D$8:$D$22,MATCH(LARGE($E$8:$E$22,2),$E$8:$E$22,0))</f>
        <v>2900000</v>
      </c>
    </row>
    <row r="11">
      <c r="A11" s="8" t="s">
        <v>116</v>
      </c>
      <c r="B11" s="13">
        <v>210000.0</v>
      </c>
      <c r="C11" s="13">
        <f>IFERROR(ABS(SUMIFS('내역'!E:E,'내역'!C:C,"주거비",'내역'!A:A,"&gt;="&amp;DATE('연간현황'!B3,10,1),'내역'!A:A,"&lt;="&amp;EOMONTH(DATE('연간현황'!B3,10,1),0))),0)</f>
        <v>0</v>
      </c>
      <c r="D11" s="13">
        <f t="shared" si="1"/>
        <v>210000</v>
      </c>
      <c r="E11" s="58">
        <f t="shared" si="2"/>
        <v>0</v>
      </c>
      <c r="F11" s="8" t="str">
        <f t="shared" si="3"/>
        <v>안정</v>
      </c>
      <c r="G11" s="8" t="str">
        <f t="shared" si="4"/>
        <v>░░░░░░░░░░</v>
      </c>
      <c r="I11" s="8">
        <v>3.0</v>
      </c>
      <c r="J11" s="8" t="str">
        <f t="array" ref="J11">INDEX($A$8:$A$22,MATCH(LARGE($E$8:$E$22,3),$E$8:$E$22,0))</f>
        <v>대출</v>
      </c>
      <c r="K11" s="14">
        <f>LARGE($E$8:$E$22,3)</f>
        <v>0</v>
      </c>
      <c r="L11" s="62">
        <f t="array" ref="L11">INDEX($D$8:$D$22,MATCH(LARGE($E$8:$E$22,3),$E$8:$E$22,0))</f>
        <v>2900000</v>
      </c>
    </row>
    <row r="12">
      <c r="A12" s="8" t="s">
        <v>117</v>
      </c>
      <c r="B12" s="13">
        <v>260000.0</v>
      </c>
      <c r="C12" s="13">
        <f>IFERROR(ABS(SUMIFS('내역'!E:E,'내역'!C:C,"생활고정비",'내역'!A:A,"&gt;="&amp;DATE('연간현황'!B3,10,1),'내역'!A:A,"&lt;="&amp;EOMONTH(DATE('연간현황'!B3,10,1),0))),0)</f>
        <v>0</v>
      </c>
      <c r="D12" s="13">
        <f t="shared" si="1"/>
        <v>260000</v>
      </c>
      <c r="E12" s="58">
        <f t="shared" si="2"/>
        <v>0</v>
      </c>
      <c r="F12" s="8" t="str">
        <f t="shared" si="3"/>
        <v>안정</v>
      </c>
      <c r="G12" s="8" t="str">
        <f t="shared" si="4"/>
        <v>░░░░░░░░░░</v>
      </c>
    </row>
    <row r="13">
      <c r="A13" s="8" t="s">
        <v>118</v>
      </c>
      <c r="B13" s="65">
        <v>420000.0</v>
      </c>
      <c r="C13" s="13">
        <f>IFERROR(ABS(SUMIFS('내역'!E:E,'내역'!C:C,"금융고정비",'내역'!A:A,"&gt;="&amp;DATE('연간현황'!B3,10,1),'내역'!A:A,"&lt;="&amp;EOMONTH(DATE('연간현황'!B3,10,1),0))),0)</f>
        <v>0</v>
      </c>
      <c r="D13" s="13">
        <f t="shared" si="1"/>
        <v>420000</v>
      </c>
      <c r="E13" s="58">
        <f t="shared" si="2"/>
        <v>0</v>
      </c>
      <c r="F13" s="8" t="str">
        <f t="shared" si="3"/>
        <v>안정</v>
      </c>
      <c r="G13" s="8" t="str">
        <f t="shared" si="4"/>
        <v>░░░░░░░░░░</v>
      </c>
      <c r="I13" s="10" t="s">
        <v>11</v>
      </c>
    </row>
    <row r="14">
      <c r="A14" s="8" t="s">
        <v>119</v>
      </c>
      <c r="B14" s="13">
        <v>150000.0</v>
      </c>
      <c r="C14" s="13">
        <f>IFERROR(ABS(SUMIFS('내역'!E:E,'내역'!C:C,"교통",'내역'!A:A,"&gt;="&amp;DATE('연간현황'!B3,10,1),'내역'!A:A,"&lt;="&amp;EOMONTH(DATE('연간현황'!B3,10,1),0))),0)</f>
        <v>0</v>
      </c>
      <c r="D14" s="13">
        <f t="shared" si="1"/>
        <v>150000</v>
      </c>
      <c r="E14" s="58">
        <f t="shared" si="2"/>
        <v>0</v>
      </c>
      <c r="F14" s="8" t="str">
        <f t="shared" si="3"/>
        <v>안정</v>
      </c>
      <c r="G14" s="8" t="str">
        <f t="shared" si="4"/>
        <v>░░░░░░░░░░</v>
      </c>
      <c r="I14" s="12" t="s">
        <v>121</v>
      </c>
    </row>
    <row r="15">
      <c r="A15" s="8" t="s">
        <v>122</v>
      </c>
      <c r="B15" s="13">
        <v>800000.0</v>
      </c>
      <c r="C15" s="13">
        <f>IFERROR(ABS(SUMIFS('내역'!E:E,'내역'!C:C,"식비",'내역'!A:A,"&gt;="&amp;DATE('연간현황'!B3,10,1),'내역'!A:A,"&lt;="&amp;EOMONTH(DATE('연간현황'!B3,10,1),0))),0)</f>
        <v>0</v>
      </c>
      <c r="D15" s="13">
        <f t="shared" si="1"/>
        <v>800000</v>
      </c>
      <c r="E15" s="58">
        <f t="shared" si="2"/>
        <v>0</v>
      </c>
      <c r="F15" s="8" t="str">
        <f t="shared" si="3"/>
        <v>안정</v>
      </c>
      <c r="G15" s="8" t="str">
        <f t="shared" si="4"/>
        <v>░░░░░░░░░░</v>
      </c>
      <c r="I15" s="12" t="s">
        <v>123</v>
      </c>
    </row>
    <row r="16">
      <c r="A16" s="8" t="s">
        <v>124</v>
      </c>
      <c r="B16" s="65">
        <v>500000.0</v>
      </c>
      <c r="C16" s="13">
        <f>IFERROR(ABS(SUMIFS('내역'!E:E,'내역'!C:C,"육아",'내역'!A:A,"&gt;="&amp;DATE('연간현황'!B3,10,1),'내역'!A:A,"&lt;="&amp;EOMONTH(DATE('연간현황'!B3,10,1),0))),0)</f>
        <v>0</v>
      </c>
      <c r="D16" s="13">
        <f t="shared" si="1"/>
        <v>500000</v>
      </c>
      <c r="E16" s="58">
        <f t="shared" si="2"/>
        <v>0</v>
      </c>
      <c r="F16" s="8" t="str">
        <f t="shared" si="3"/>
        <v>안정</v>
      </c>
      <c r="G16" s="8" t="str">
        <f t="shared" si="4"/>
        <v>░░░░░░░░░░</v>
      </c>
      <c r="I16" s="12" t="s">
        <v>125</v>
      </c>
    </row>
    <row r="17">
      <c r="A17" s="64" t="s">
        <v>126</v>
      </c>
      <c r="B17" s="65">
        <v>150000.0</v>
      </c>
      <c r="C17" s="13">
        <f>MAX(0, IFERROR(ABS(SUMIFS('내역'!E:E,'내역'!C:C,"의료비",'내역'!A:A,"&gt;="&amp;DATE('연간현황'!B3,10,1),'내역'!A:A,"&lt;="&amp;EOMONTH(DATE('연간현황'!B3,10,1),0)))-ABS(SUMIFS('내역'!E:E,'내역'!C:C,"실비",'내역'!A:A,"&gt;="&amp;DATE('연간현황'!B3,10,1),'내역'!A:A,"&lt;="&amp;EOMONTH(DATE('연간현황'!B3,10,1),0))),0))</f>
        <v>0</v>
      </c>
      <c r="D17" s="13">
        <f t="shared" si="1"/>
        <v>150000</v>
      </c>
      <c r="E17" s="58">
        <f t="shared" si="2"/>
        <v>0</v>
      </c>
      <c r="F17" s="8" t="str">
        <f t="shared" si="3"/>
        <v>안정</v>
      </c>
      <c r="G17" s="8" t="str">
        <f t="shared" si="4"/>
        <v>░░░░░░░░░░</v>
      </c>
      <c r="I17" s="12" t="s">
        <v>127</v>
      </c>
    </row>
    <row r="18">
      <c r="A18" s="8" t="s">
        <v>128</v>
      </c>
      <c r="B18" s="13">
        <v>300000.0</v>
      </c>
      <c r="C18" s="13">
        <f>IFERROR(ABS(SUMIFS('내역'!E:E,'내역'!C:C,"기타생활비",'내역'!A:A,"&gt;="&amp;DATE('연간현황'!B3,10,1),'내역'!A:A,"&lt;="&amp;EOMONTH(DATE('연간현황'!B3,10,1),0))),0)</f>
        <v>0</v>
      </c>
      <c r="D18" s="13">
        <f t="shared" si="1"/>
        <v>300000</v>
      </c>
      <c r="E18" s="58">
        <f t="shared" si="2"/>
        <v>0</v>
      </c>
      <c r="F18" s="8" t="str">
        <f t="shared" si="3"/>
        <v>안정</v>
      </c>
      <c r="G18" s="8" t="str">
        <f t="shared" si="4"/>
        <v>░░░░░░░░░░</v>
      </c>
    </row>
    <row r="19">
      <c r="A19" s="8" t="s">
        <v>129</v>
      </c>
      <c r="B19" s="13">
        <v>100000.0</v>
      </c>
      <c r="C19" s="13">
        <f>IFERROR(ABS(SUMIFS('내역'!E:E,'내역'!C:C,"이벤트",'내역'!A:A,"&gt;="&amp;DATE('연간현황'!B3,10,1),'내역'!A:A,"&lt;="&amp;EOMONTH(DATE('연간현황'!B3,10,1),0))),0)</f>
        <v>0</v>
      </c>
      <c r="D19" s="13">
        <f t="shared" si="1"/>
        <v>100000</v>
      </c>
      <c r="E19" s="58">
        <f t="shared" si="2"/>
        <v>0</v>
      </c>
      <c r="F19" s="8" t="str">
        <f t="shared" si="3"/>
        <v>안정</v>
      </c>
      <c r="G19" s="8" t="str">
        <f t="shared" si="4"/>
        <v>░░░░░░░░░░</v>
      </c>
    </row>
    <row r="20">
      <c r="A20" s="64" t="s">
        <v>136</v>
      </c>
      <c r="B20" s="65">
        <v>0.0</v>
      </c>
      <c r="C20" s="13">
        <f>IFERROR(ABS(SUMIFS('내역'!E:E,'내역'!C:C,"세금",'내역'!A:A,"&gt;="&amp;DATE('연간현황'!B3,10,1),'내역'!A:A,"&lt;="&amp;EOMONTH(DATE('연간현황'!B3,10,1),0))),0)</f>
        <v>0</v>
      </c>
      <c r="D20" s="13">
        <f t="shared" si="1"/>
        <v>0</v>
      </c>
      <c r="E20" s="58">
        <f t="shared" si="2"/>
        <v>0</v>
      </c>
      <c r="F20" s="8" t="str">
        <f t="shared" si="3"/>
        <v>안정</v>
      </c>
      <c r="G20" s="8" t="str">
        <f t="shared" si="4"/>
        <v>░░░░░░░░░░</v>
      </c>
    </row>
    <row r="21">
      <c r="A21" s="8" t="s">
        <v>130</v>
      </c>
      <c r="B21" s="65">
        <v>200000.0</v>
      </c>
      <c r="C21" s="13">
        <f>IFERROR(ABS(SUMIFS('내역'!E:E,'내역'!C:C,"기석용돈",'내역'!A:A,"&gt;="&amp;DATE('연간현황'!B3,10,1),'내역'!A:A,"&lt;="&amp;EOMONTH(DATE('연간현황'!B3,10,1),0))),0)</f>
        <v>0</v>
      </c>
      <c r="D21" s="13">
        <f t="shared" si="1"/>
        <v>200000</v>
      </c>
      <c r="E21" s="58">
        <f t="shared" si="2"/>
        <v>0</v>
      </c>
      <c r="F21" s="8" t="str">
        <f t="shared" si="3"/>
        <v>안정</v>
      </c>
      <c r="G21" s="8" t="str">
        <f t="shared" si="4"/>
        <v>░░░░░░░░░░</v>
      </c>
    </row>
    <row r="22">
      <c r="A22" s="8" t="s">
        <v>131</v>
      </c>
      <c r="B22" s="65">
        <v>200000.0</v>
      </c>
      <c r="C22" s="13">
        <f>IFERROR(ABS(SUMIFS('내역'!E:E,'내역'!C:C,"승주용돈",'내역'!A:A,"&gt;="&amp;DATE('연간현황'!B3,10,1),'내역'!A:A,"&lt;="&amp;EOMONTH(DATE('연간현황'!B3,10,1),0))),0)</f>
        <v>0</v>
      </c>
      <c r="D22" s="13">
        <f t="shared" si="1"/>
        <v>200000</v>
      </c>
      <c r="E22" s="58">
        <f t="shared" si="2"/>
        <v>0</v>
      </c>
      <c r="F22" s="8" t="str">
        <f t="shared" si="3"/>
        <v>안정</v>
      </c>
      <c r="G22" s="8" t="str">
        <f t="shared" si="4"/>
        <v>░░░░░░░░░░</v>
      </c>
    </row>
    <row r="23" ht="15.75" customHeight="1">
      <c r="A23" s="66" t="s">
        <v>115</v>
      </c>
      <c r="B23" s="67">
        <f t="shared" ref="B23:D23" si="5">SUM(B8:B22)</f>
        <v>6880000</v>
      </c>
      <c r="C23" s="67">
        <f t="shared" si="5"/>
        <v>0</v>
      </c>
      <c r="D23" s="67">
        <f t="shared" si="5"/>
        <v>6880000</v>
      </c>
      <c r="E23" s="68">
        <f t="shared" si="2"/>
        <v>0</v>
      </c>
      <c r="F23" s="66" t="str">
        <f t="shared" si="3"/>
        <v>안정</v>
      </c>
      <c r="G23" s="66" t="str">
        <f t="shared" si="4"/>
        <v>░░░░░░░░░░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D8:D23">
    <cfRule type="cellIs" dxfId="0" priority="1" operator="lessThan">
      <formula>0</formula>
    </cfRule>
  </conditionalFormatting>
  <conditionalFormatting sqref="D8:D23">
    <cfRule type="cellIs" dxfId="1" priority="2" operator="greaterThanOrEqual">
      <formula>0</formula>
    </cfRule>
  </conditionalFormatting>
  <conditionalFormatting sqref="D8:D23">
    <cfRule type="cellIs" dxfId="2" priority="3" operator="lessThan">
      <formula>0</formula>
    </cfRule>
  </conditionalFormatting>
  <conditionalFormatting sqref="F8:F23">
    <cfRule type="expression" dxfId="0" priority="4">
      <formula>$F8="초과"</formula>
    </cfRule>
  </conditionalFormatting>
  <conditionalFormatting sqref="F8:F23">
    <cfRule type="expression" dxfId="3" priority="5">
      <formula>$F8="주의"</formula>
    </cfRule>
  </conditionalFormatting>
  <conditionalFormatting sqref="F8:F23">
    <cfRule type="expression" dxfId="1" priority="6">
      <formula>$F8="안정"</formula>
    </cfRule>
  </conditionalFormatting>
  <conditionalFormatting sqref="F8:F23">
    <cfRule type="cellIs" dxfId="2" priority="7" operator="equal">
      <formula>"초과"</formula>
    </cfRule>
  </conditionalFormatting>
  <conditionalFormatting sqref="F8:F23">
    <cfRule type="cellIs" dxfId="0" priority="8" operator="equal">
      <formula>"주의"</formula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ADCC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4.0"/>
    <col customWidth="1" min="5" max="5" width="11.0"/>
    <col customWidth="1" min="6" max="6" width="10.0"/>
    <col customWidth="1" min="7" max="7" width="18.0"/>
    <col customWidth="1" min="8" max="8" width="3.0"/>
    <col customWidth="1" min="9" max="12" width="18.0"/>
    <col customWidth="1" min="13" max="26" width="8.71"/>
  </cols>
  <sheetData>
    <row r="1">
      <c r="A1" s="7" t="s">
        <v>140</v>
      </c>
    </row>
    <row r="2">
      <c r="A2" s="3" t="s">
        <v>98</v>
      </c>
    </row>
    <row r="4">
      <c r="A4" s="22" t="s">
        <v>99</v>
      </c>
      <c r="B4" s="24">
        <f>B23</f>
        <v>6880000</v>
      </c>
      <c r="C4" s="50" t="s">
        <v>102</v>
      </c>
      <c r="D4" s="24">
        <f>C23</f>
        <v>0</v>
      </c>
      <c r="E4" s="52" t="s">
        <v>103</v>
      </c>
      <c r="F4" s="53">
        <f>D23</f>
        <v>6880000</v>
      </c>
      <c r="G4" s="22" t="s">
        <v>104</v>
      </c>
      <c r="H4" s="54">
        <f>IFERROR(C23/B23,0)</f>
        <v>0</v>
      </c>
    </row>
    <row r="7">
      <c r="A7" s="55" t="s">
        <v>40</v>
      </c>
      <c r="B7" s="55" t="s">
        <v>105</v>
      </c>
      <c r="C7" s="55" t="s">
        <v>106</v>
      </c>
      <c r="D7" s="55" t="s">
        <v>107</v>
      </c>
      <c r="E7" s="55" t="s">
        <v>63</v>
      </c>
      <c r="F7" s="55" t="s">
        <v>108</v>
      </c>
      <c r="G7" s="55" t="s">
        <v>109</v>
      </c>
      <c r="I7" s="56" t="s">
        <v>110</v>
      </c>
    </row>
    <row r="8">
      <c r="A8" s="8" t="s">
        <v>111</v>
      </c>
      <c r="B8" s="13">
        <v>2900000.0</v>
      </c>
      <c r="C8" s="13">
        <f>IFERROR(ABS(SUMIFS('내역'!E:E,'내역'!C:C,"대출",'내역'!A:A,"&gt;="&amp;DATE('연간현황'!B3,11,1),'내역'!A:A,"&lt;="&amp;EOMONTH(DATE('연간현황'!B3,11,1),0))),0)</f>
        <v>0</v>
      </c>
      <c r="D8" s="13">
        <f t="shared" ref="D8:D22" si="1">B8-C8</f>
        <v>2900000</v>
      </c>
      <c r="E8" s="58">
        <f t="shared" ref="E8:E23" si="2">IFERROR(C8/B8,0)</f>
        <v>0</v>
      </c>
      <c r="F8" s="8" t="str">
        <f t="shared" ref="F8:F23" si="3">IF(E8&gt;=1,"초과",IF(E8&gt;=0.8,"주의","안정"))</f>
        <v>안정</v>
      </c>
      <c r="G8" s="8" t="str">
        <f t="shared" ref="G8:G23" si="4">REPT("█",ROUND(MIN(1,E8)*10,0))&amp;REPT("░",10-ROUND(MIN(1,E8)*10,0))</f>
        <v>░░░░░░░░░░</v>
      </c>
      <c r="I8" s="61" t="s">
        <v>112</v>
      </c>
      <c r="J8" s="61" t="s">
        <v>40</v>
      </c>
      <c r="K8" s="61" t="s">
        <v>63</v>
      </c>
      <c r="L8" s="61" t="s">
        <v>107</v>
      </c>
    </row>
    <row r="9">
      <c r="A9" s="8" t="s">
        <v>113</v>
      </c>
      <c r="B9" s="13">
        <v>550000.0</v>
      </c>
      <c r="C9" s="13">
        <f>IFERROR(ABS(SUMIFS('내역'!E:E,'내역'!C:C,"보험",'내역'!A:A,"&gt;="&amp;DATE('연간현황'!B3,11,1),'내역'!A:A,"&lt;="&amp;EOMONTH(DATE('연간현황'!B3,11,1),0))),0)</f>
        <v>0</v>
      </c>
      <c r="D9" s="13">
        <f t="shared" si="1"/>
        <v>550000</v>
      </c>
      <c r="E9" s="58">
        <f t="shared" si="2"/>
        <v>0</v>
      </c>
      <c r="F9" s="8" t="str">
        <f t="shared" si="3"/>
        <v>안정</v>
      </c>
      <c r="G9" s="8" t="str">
        <f t="shared" si="4"/>
        <v>░░░░░░░░░░</v>
      </c>
      <c r="I9" s="8">
        <v>1.0</v>
      </c>
      <c r="J9" s="8" t="str">
        <f t="array" ref="J9">INDEX($A$8:$A$22,MATCH(LARGE($E$8:$E$22,1),$E$8:$E$22,0))</f>
        <v>대출</v>
      </c>
      <c r="K9" s="14">
        <f>LARGE($E$8:$E$22,1)</f>
        <v>0</v>
      </c>
      <c r="L9" s="62">
        <f t="array" ref="L9">INDEX($D$8:$D$22,MATCH(LARGE($E$8:$E$22,1),$E$8:$E$22,0))</f>
        <v>2900000</v>
      </c>
    </row>
    <row r="10">
      <c r="A10" s="8" t="s">
        <v>114</v>
      </c>
      <c r="B10" s="13">
        <v>140000.0</v>
      </c>
      <c r="C10" s="13">
        <f>IFERROR(ABS(SUMIFS('내역'!E:E,'내역'!C:C,"통신비",'내역'!A:A,"&gt;="&amp;DATE('연간현황'!B3,11,1),'내역'!A:A,"&lt;="&amp;EOMONTH(DATE('연간현황'!B3,11,1),0))),0)</f>
        <v>0</v>
      </c>
      <c r="D10" s="13">
        <f t="shared" si="1"/>
        <v>140000</v>
      </c>
      <c r="E10" s="58">
        <f t="shared" si="2"/>
        <v>0</v>
      </c>
      <c r="F10" s="8" t="str">
        <f t="shared" si="3"/>
        <v>안정</v>
      </c>
      <c r="G10" s="8" t="str">
        <f t="shared" si="4"/>
        <v>░░░░░░░░░░</v>
      </c>
      <c r="I10" s="8">
        <v>2.0</v>
      </c>
      <c r="J10" s="8" t="str">
        <f t="array" ref="J10">INDEX($A$8:$A$22,MATCH(LARGE($E$8:$E$22,2),$E$8:$E$22,0))</f>
        <v>대출</v>
      </c>
      <c r="K10" s="14">
        <f>LARGE($E$8:$E$22,2)</f>
        <v>0</v>
      </c>
      <c r="L10" s="62">
        <f t="array" ref="L10">INDEX($D$8:$D$22,MATCH(LARGE($E$8:$E$22,2),$E$8:$E$22,0))</f>
        <v>2900000</v>
      </c>
    </row>
    <row r="11">
      <c r="A11" s="8" t="s">
        <v>116</v>
      </c>
      <c r="B11" s="13">
        <v>210000.0</v>
      </c>
      <c r="C11" s="13">
        <f>IFERROR(ABS(SUMIFS('내역'!E:E,'내역'!C:C,"주거비",'내역'!A:A,"&gt;="&amp;DATE('연간현황'!B3,11,1),'내역'!A:A,"&lt;="&amp;EOMONTH(DATE('연간현황'!B3,11,1),0))),0)</f>
        <v>0</v>
      </c>
      <c r="D11" s="13">
        <f t="shared" si="1"/>
        <v>210000</v>
      </c>
      <c r="E11" s="58">
        <f t="shared" si="2"/>
        <v>0</v>
      </c>
      <c r="F11" s="8" t="str">
        <f t="shared" si="3"/>
        <v>안정</v>
      </c>
      <c r="G11" s="8" t="str">
        <f t="shared" si="4"/>
        <v>░░░░░░░░░░</v>
      </c>
      <c r="I11" s="8">
        <v>3.0</v>
      </c>
      <c r="J11" s="8" t="str">
        <f t="array" ref="J11">INDEX($A$8:$A$22,MATCH(LARGE($E$8:$E$22,3),$E$8:$E$22,0))</f>
        <v>대출</v>
      </c>
      <c r="K11" s="14">
        <f>LARGE($E$8:$E$22,3)</f>
        <v>0</v>
      </c>
      <c r="L11" s="62">
        <f t="array" ref="L11">INDEX($D$8:$D$22,MATCH(LARGE($E$8:$E$22,3),$E$8:$E$22,0))</f>
        <v>2900000</v>
      </c>
    </row>
    <row r="12">
      <c r="A12" s="8" t="s">
        <v>117</v>
      </c>
      <c r="B12" s="13">
        <v>260000.0</v>
      </c>
      <c r="C12" s="13">
        <f>IFERROR(ABS(SUMIFS('내역'!E:E,'내역'!C:C,"생활고정비",'내역'!A:A,"&gt;="&amp;DATE('연간현황'!B3,11,1),'내역'!A:A,"&lt;="&amp;EOMONTH(DATE('연간현황'!B3,11,1),0))),0)</f>
        <v>0</v>
      </c>
      <c r="D12" s="13">
        <f t="shared" si="1"/>
        <v>260000</v>
      </c>
      <c r="E12" s="58">
        <f t="shared" si="2"/>
        <v>0</v>
      </c>
      <c r="F12" s="8" t="str">
        <f t="shared" si="3"/>
        <v>안정</v>
      </c>
      <c r="G12" s="8" t="str">
        <f t="shared" si="4"/>
        <v>░░░░░░░░░░</v>
      </c>
    </row>
    <row r="13">
      <c r="A13" s="8" t="s">
        <v>118</v>
      </c>
      <c r="B13" s="65">
        <v>420000.0</v>
      </c>
      <c r="C13" s="13">
        <f>IFERROR(ABS(SUMIFS('내역'!E:E,'내역'!C:C,"금융고정비",'내역'!A:A,"&gt;="&amp;DATE('연간현황'!B3,11,1),'내역'!A:A,"&lt;="&amp;EOMONTH(DATE('연간현황'!B3,11,1),0))),0)</f>
        <v>0</v>
      </c>
      <c r="D13" s="13">
        <f t="shared" si="1"/>
        <v>420000</v>
      </c>
      <c r="E13" s="58">
        <f t="shared" si="2"/>
        <v>0</v>
      </c>
      <c r="F13" s="8" t="str">
        <f t="shared" si="3"/>
        <v>안정</v>
      </c>
      <c r="G13" s="8" t="str">
        <f t="shared" si="4"/>
        <v>░░░░░░░░░░</v>
      </c>
      <c r="I13" s="10" t="s">
        <v>11</v>
      </c>
    </row>
    <row r="14">
      <c r="A14" s="8" t="s">
        <v>119</v>
      </c>
      <c r="B14" s="13">
        <v>150000.0</v>
      </c>
      <c r="C14" s="13">
        <f>IFERROR(ABS(SUMIFS('내역'!E:E,'내역'!C:C,"교통",'내역'!A:A,"&gt;="&amp;DATE('연간현황'!B3,11,1),'내역'!A:A,"&lt;="&amp;EOMONTH(DATE('연간현황'!B3,11,1),0))),0)</f>
        <v>0</v>
      </c>
      <c r="D14" s="13">
        <f t="shared" si="1"/>
        <v>150000</v>
      </c>
      <c r="E14" s="58">
        <f t="shared" si="2"/>
        <v>0</v>
      </c>
      <c r="F14" s="8" t="str">
        <f t="shared" si="3"/>
        <v>안정</v>
      </c>
      <c r="G14" s="8" t="str">
        <f t="shared" si="4"/>
        <v>░░░░░░░░░░</v>
      </c>
      <c r="I14" s="12" t="s">
        <v>121</v>
      </c>
    </row>
    <row r="15">
      <c r="A15" s="8" t="s">
        <v>122</v>
      </c>
      <c r="B15" s="13">
        <v>800000.0</v>
      </c>
      <c r="C15" s="13">
        <f>IFERROR(ABS(SUMIFS('내역'!E:E,'내역'!C:C,"식비",'내역'!A:A,"&gt;="&amp;DATE('연간현황'!B3,11,1),'내역'!A:A,"&lt;="&amp;EOMONTH(DATE('연간현황'!B3,11,1),0))),0)</f>
        <v>0</v>
      </c>
      <c r="D15" s="13">
        <f t="shared" si="1"/>
        <v>800000</v>
      </c>
      <c r="E15" s="58">
        <f t="shared" si="2"/>
        <v>0</v>
      </c>
      <c r="F15" s="8" t="str">
        <f t="shared" si="3"/>
        <v>안정</v>
      </c>
      <c r="G15" s="8" t="str">
        <f t="shared" si="4"/>
        <v>░░░░░░░░░░</v>
      </c>
      <c r="I15" s="12" t="s">
        <v>123</v>
      </c>
    </row>
    <row r="16">
      <c r="A16" s="8" t="s">
        <v>124</v>
      </c>
      <c r="B16" s="65">
        <v>500000.0</v>
      </c>
      <c r="C16" s="13">
        <f>IFERROR(ABS(SUMIFS('내역'!E:E,'내역'!C:C,"육아",'내역'!A:A,"&gt;="&amp;DATE('연간현황'!B3,11,1),'내역'!A:A,"&lt;="&amp;EOMONTH(DATE('연간현황'!B3,11,1),0))),0)</f>
        <v>0</v>
      </c>
      <c r="D16" s="13">
        <f t="shared" si="1"/>
        <v>500000</v>
      </c>
      <c r="E16" s="58">
        <f t="shared" si="2"/>
        <v>0</v>
      </c>
      <c r="F16" s="8" t="str">
        <f t="shared" si="3"/>
        <v>안정</v>
      </c>
      <c r="G16" s="8" t="str">
        <f t="shared" si="4"/>
        <v>░░░░░░░░░░</v>
      </c>
      <c r="I16" s="12" t="s">
        <v>125</v>
      </c>
    </row>
    <row r="17">
      <c r="A17" s="64" t="s">
        <v>126</v>
      </c>
      <c r="B17" s="65">
        <v>150000.0</v>
      </c>
      <c r="C17" s="13">
        <f>MAX(0, IFERROR(ABS(SUMIFS('내역'!E:E,'내역'!C:C,"의료비",'내역'!A:A,"&gt;="&amp;DATE('연간현황'!B3,11,1),'내역'!A:A,"&lt;="&amp;EOMONTH(DATE('연간현황'!B3,11,1),0)))-ABS(SUMIFS('내역'!E:E,'내역'!C:C,"실비",'내역'!A:A,"&gt;="&amp;DATE('연간현황'!B3,11,1),'내역'!A:A,"&lt;="&amp;EOMONTH(DATE('연간현황'!B3,11,1),0))),0))</f>
        <v>0</v>
      </c>
      <c r="D17" s="13">
        <f t="shared" si="1"/>
        <v>150000</v>
      </c>
      <c r="E17" s="58">
        <f t="shared" si="2"/>
        <v>0</v>
      </c>
      <c r="F17" s="8" t="str">
        <f t="shared" si="3"/>
        <v>안정</v>
      </c>
      <c r="G17" s="8" t="str">
        <f t="shared" si="4"/>
        <v>░░░░░░░░░░</v>
      </c>
      <c r="I17" s="12" t="s">
        <v>127</v>
      </c>
    </row>
    <row r="18">
      <c r="A18" s="8" t="s">
        <v>128</v>
      </c>
      <c r="B18" s="13">
        <v>300000.0</v>
      </c>
      <c r="C18" s="13">
        <f>IFERROR(ABS(SUMIFS('내역'!E:E,'내역'!C:C,"기타생활비",'내역'!A:A,"&gt;="&amp;DATE('연간현황'!B3,11,1),'내역'!A:A,"&lt;="&amp;EOMONTH(DATE('연간현황'!B3,11,1),0))),0)</f>
        <v>0</v>
      </c>
      <c r="D18" s="13">
        <f t="shared" si="1"/>
        <v>300000</v>
      </c>
      <c r="E18" s="58">
        <f t="shared" si="2"/>
        <v>0</v>
      </c>
      <c r="F18" s="8" t="str">
        <f t="shared" si="3"/>
        <v>안정</v>
      </c>
      <c r="G18" s="8" t="str">
        <f t="shared" si="4"/>
        <v>░░░░░░░░░░</v>
      </c>
    </row>
    <row r="19">
      <c r="A19" s="8" t="s">
        <v>129</v>
      </c>
      <c r="B19" s="13">
        <v>100000.0</v>
      </c>
      <c r="C19" s="13">
        <f>IFERROR(ABS(SUMIFS('내역'!E:E,'내역'!C:C,"이벤트",'내역'!A:A,"&gt;="&amp;DATE('연간현황'!B3,11,1),'내역'!A:A,"&lt;="&amp;EOMONTH(DATE('연간현황'!B3,11,1),0))),0)</f>
        <v>0</v>
      </c>
      <c r="D19" s="13">
        <f t="shared" si="1"/>
        <v>100000</v>
      </c>
      <c r="E19" s="58">
        <f t="shared" si="2"/>
        <v>0</v>
      </c>
      <c r="F19" s="8" t="str">
        <f t="shared" si="3"/>
        <v>안정</v>
      </c>
      <c r="G19" s="8" t="str">
        <f t="shared" si="4"/>
        <v>░░░░░░░░░░</v>
      </c>
    </row>
    <row r="20">
      <c r="A20" s="64" t="s">
        <v>136</v>
      </c>
      <c r="B20" s="65">
        <v>0.0</v>
      </c>
      <c r="C20" s="13">
        <f>IFERROR(ABS(SUMIFS('내역'!E:E,'내역'!C:C,"세금",'내역'!A:A,"&gt;="&amp;DATE('연간현황'!B3,11,1),'내역'!A:A,"&lt;="&amp;EOMONTH(DATE('연간현황'!B3,11,1),0))),0)</f>
        <v>0</v>
      </c>
      <c r="D20" s="13">
        <f t="shared" si="1"/>
        <v>0</v>
      </c>
      <c r="E20" s="58">
        <f t="shared" si="2"/>
        <v>0</v>
      </c>
      <c r="F20" s="8" t="str">
        <f t="shared" si="3"/>
        <v>안정</v>
      </c>
      <c r="G20" s="8" t="str">
        <f t="shared" si="4"/>
        <v>░░░░░░░░░░</v>
      </c>
    </row>
    <row r="21">
      <c r="A21" s="8" t="s">
        <v>130</v>
      </c>
      <c r="B21" s="65">
        <v>200000.0</v>
      </c>
      <c r="C21" s="13">
        <f>IFERROR(ABS(SUMIFS('내역'!E:E,'내역'!C:C,"기석용돈",'내역'!A:A,"&gt;="&amp;DATE('연간현황'!B3,11,1),'내역'!A:A,"&lt;="&amp;EOMONTH(DATE('연간현황'!B3,11,1),0))),0)</f>
        <v>0</v>
      </c>
      <c r="D21" s="13">
        <f t="shared" si="1"/>
        <v>200000</v>
      </c>
      <c r="E21" s="58">
        <f t="shared" si="2"/>
        <v>0</v>
      </c>
      <c r="F21" s="8" t="str">
        <f t="shared" si="3"/>
        <v>안정</v>
      </c>
      <c r="G21" s="8" t="str">
        <f t="shared" si="4"/>
        <v>░░░░░░░░░░</v>
      </c>
    </row>
    <row r="22">
      <c r="A22" s="8" t="s">
        <v>131</v>
      </c>
      <c r="B22" s="65">
        <v>200000.0</v>
      </c>
      <c r="C22" s="13">
        <f>IFERROR(ABS(SUMIFS('내역'!E:E,'내역'!C:C,"승주용돈",'내역'!A:A,"&gt;="&amp;DATE('연간현황'!B3,11,1),'내역'!A:A,"&lt;="&amp;EOMONTH(DATE('연간현황'!B3,11,1),0))),0)</f>
        <v>0</v>
      </c>
      <c r="D22" s="13">
        <f t="shared" si="1"/>
        <v>200000</v>
      </c>
      <c r="E22" s="58">
        <f t="shared" si="2"/>
        <v>0</v>
      </c>
      <c r="F22" s="8" t="str">
        <f t="shared" si="3"/>
        <v>안정</v>
      </c>
      <c r="G22" s="8" t="str">
        <f t="shared" si="4"/>
        <v>░░░░░░░░░░</v>
      </c>
    </row>
    <row r="23" ht="15.75" customHeight="1">
      <c r="A23" s="66" t="s">
        <v>115</v>
      </c>
      <c r="B23" s="67">
        <f t="shared" ref="B23:D23" si="5">SUM(B8:B22)</f>
        <v>6880000</v>
      </c>
      <c r="C23" s="67">
        <f t="shared" si="5"/>
        <v>0</v>
      </c>
      <c r="D23" s="67">
        <f t="shared" si="5"/>
        <v>6880000</v>
      </c>
      <c r="E23" s="68">
        <f t="shared" si="2"/>
        <v>0</v>
      </c>
      <c r="F23" s="66" t="str">
        <f t="shared" si="3"/>
        <v>안정</v>
      </c>
      <c r="G23" s="66" t="str">
        <f t="shared" si="4"/>
        <v>░░░░░░░░░░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D8:D23">
    <cfRule type="cellIs" dxfId="0" priority="1" operator="lessThan">
      <formula>0</formula>
    </cfRule>
  </conditionalFormatting>
  <conditionalFormatting sqref="D8:D23">
    <cfRule type="cellIs" dxfId="1" priority="2" operator="greaterThanOrEqual">
      <formula>0</formula>
    </cfRule>
  </conditionalFormatting>
  <conditionalFormatting sqref="D8:D23">
    <cfRule type="cellIs" dxfId="2" priority="3" operator="lessThan">
      <formula>0</formula>
    </cfRule>
  </conditionalFormatting>
  <conditionalFormatting sqref="F8:F23">
    <cfRule type="expression" dxfId="0" priority="4">
      <formula>$F8="초과"</formula>
    </cfRule>
  </conditionalFormatting>
  <conditionalFormatting sqref="F8:F23">
    <cfRule type="expression" dxfId="3" priority="5">
      <formula>$F8="주의"</formula>
    </cfRule>
  </conditionalFormatting>
  <conditionalFormatting sqref="F8:F23">
    <cfRule type="expression" dxfId="1" priority="6">
      <formula>$F8="안정"</formula>
    </cfRule>
  </conditionalFormatting>
  <conditionalFormatting sqref="F8:F23">
    <cfRule type="cellIs" dxfId="2" priority="7" operator="equal">
      <formula>"초과"</formula>
    </cfRule>
  </conditionalFormatting>
  <conditionalFormatting sqref="F8:F23">
    <cfRule type="cellIs" dxfId="0" priority="8" operator="equal">
      <formula>"주의"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ADCC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4.0"/>
    <col customWidth="1" min="5" max="5" width="11.0"/>
    <col customWidth="1" min="6" max="6" width="10.0"/>
    <col customWidth="1" min="7" max="7" width="18.0"/>
    <col customWidth="1" min="8" max="8" width="3.0"/>
    <col customWidth="1" min="9" max="12" width="18.0"/>
    <col customWidth="1" min="13" max="26" width="8.71"/>
  </cols>
  <sheetData>
    <row r="1">
      <c r="A1" s="7" t="s">
        <v>141</v>
      </c>
    </row>
    <row r="2">
      <c r="A2" s="3" t="s">
        <v>98</v>
      </c>
    </row>
    <row r="4">
      <c r="A4" s="22" t="s">
        <v>99</v>
      </c>
      <c r="B4" s="24">
        <f>B23</f>
        <v>6880000</v>
      </c>
      <c r="C4" s="50" t="s">
        <v>102</v>
      </c>
      <c r="D4" s="24">
        <f>C23</f>
        <v>0</v>
      </c>
      <c r="E4" s="52" t="s">
        <v>103</v>
      </c>
      <c r="F4" s="53">
        <f>D23</f>
        <v>6880000</v>
      </c>
      <c r="G4" s="22" t="s">
        <v>104</v>
      </c>
      <c r="H4" s="54">
        <f>IFERROR(C23/B23,0)</f>
        <v>0</v>
      </c>
    </row>
    <row r="7">
      <c r="A7" s="55" t="s">
        <v>40</v>
      </c>
      <c r="B7" s="55" t="s">
        <v>105</v>
      </c>
      <c r="C7" s="55" t="s">
        <v>106</v>
      </c>
      <c r="D7" s="55" t="s">
        <v>107</v>
      </c>
      <c r="E7" s="55" t="s">
        <v>63</v>
      </c>
      <c r="F7" s="55" t="s">
        <v>108</v>
      </c>
      <c r="G7" s="55" t="s">
        <v>109</v>
      </c>
      <c r="I7" s="56" t="s">
        <v>110</v>
      </c>
    </row>
    <row r="8">
      <c r="A8" s="8" t="s">
        <v>111</v>
      </c>
      <c r="B8" s="13">
        <v>2900000.0</v>
      </c>
      <c r="C8" s="13">
        <f>IFERROR(ABS(SUMIFS('내역'!E:E,'내역'!C:C,"대출",'내역'!A:A,"&gt;="&amp;DATE('연간현황'!B3,12,1),'내역'!A:A,"&lt;="&amp;EOMONTH(DATE('연간현황'!B3,12,1),0))),0)</f>
        <v>0</v>
      </c>
      <c r="D8" s="13">
        <f t="shared" ref="D8:D22" si="1">B8-C8</f>
        <v>2900000</v>
      </c>
      <c r="E8" s="58">
        <f t="shared" ref="E8:E23" si="2">IFERROR(C8/B8,0)</f>
        <v>0</v>
      </c>
      <c r="F8" s="8" t="str">
        <f t="shared" ref="F8:F23" si="3">IF(E8&gt;=1,"초과",IF(E8&gt;=0.8,"주의","안정"))</f>
        <v>안정</v>
      </c>
      <c r="G8" s="8" t="str">
        <f t="shared" ref="G8:G23" si="4">REPT("█",ROUND(MIN(1,E8)*10,0))&amp;REPT("░",10-ROUND(MIN(1,E8)*10,0))</f>
        <v>░░░░░░░░░░</v>
      </c>
      <c r="I8" s="61" t="s">
        <v>112</v>
      </c>
      <c r="J8" s="61" t="s">
        <v>40</v>
      </c>
      <c r="K8" s="61" t="s">
        <v>63</v>
      </c>
      <c r="L8" s="61" t="s">
        <v>107</v>
      </c>
    </row>
    <row r="9">
      <c r="A9" s="8" t="s">
        <v>113</v>
      </c>
      <c r="B9" s="13">
        <v>550000.0</v>
      </c>
      <c r="C9" s="13">
        <f>IFERROR(ABS(SUMIFS('내역'!E:E,'내역'!C:C,"보험",'내역'!A:A,"&gt;="&amp;DATE('연간현황'!B3,12,1),'내역'!A:A,"&lt;="&amp;EOMONTH(DATE('연간현황'!B3,12,1),0))),0)</f>
        <v>0</v>
      </c>
      <c r="D9" s="13">
        <f t="shared" si="1"/>
        <v>550000</v>
      </c>
      <c r="E9" s="58">
        <f t="shared" si="2"/>
        <v>0</v>
      </c>
      <c r="F9" s="8" t="str">
        <f t="shared" si="3"/>
        <v>안정</v>
      </c>
      <c r="G9" s="8" t="str">
        <f t="shared" si="4"/>
        <v>░░░░░░░░░░</v>
      </c>
      <c r="I9" s="8">
        <v>1.0</v>
      </c>
      <c r="J9" s="8" t="str">
        <f t="array" ref="J9">INDEX($A$8:$A$22,MATCH(LARGE($E$8:$E$22,1),$E$8:$E$22,0))</f>
        <v>대출</v>
      </c>
      <c r="K9" s="14">
        <f>LARGE($E$8:$E$22,1)</f>
        <v>0</v>
      </c>
      <c r="L9" s="62">
        <f t="array" ref="L9">INDEX($D$8:$D$22,MATCH(LARGE($E$8:$E$22,1),$E$8:$E$22,0))</f>
        <v>2900000</v>
      </c>
    </row>
    <row r="10">
      <c r="A10" s="8" t="s">
        <v>114</v>
      </c>
      <c r="B10" s="13">
        <v>140000.0</v>
      </c>
      <c r="C10" s="13">
        <f>IFERROR(ABS(SUMIFS('내역'!E:E,'내역'!C:C,"통신비",'내역'!A:A,"&gt;="&amp;DATE('연간현황'!B3,12,1),'내역'!A:A,"&lt;="&amp;EOMONTH(DATE('연간현황'!B3,12,1),0))),0)</f>
        <v>0</v>
      </c>
      <c r="D10" s="13">
        <f t="shared" si="1"/>
        <v>140000</v>
      </c>
      <c r="E10" s="58">
        <f t="shared" si="2"/>
        <v>0</v>
      </c>
      <c r="F10" s="8" t="str">
        <f t="shared" si="3"/>
        <v>안정</v>
      </c>
      <c r="G10" s="8" t="str">
        <f t="shared" si="4"/>
        <v>░░░░░░░░░░</v>
      </c>
      <c r="I10" s="8">
        <v>2.0</v>
      </c>
      <c r="J10" s="8" t="str">
        <f t="array" ref="J10">INDEX($A$8:$A$22,MATCH(LARGE($E$8:$E$22,2),$E$8:$E$22,0))</f>
        <v>대출</v>
      </c>
      <c r="K10" s="14">
        <f>LARGE($E$8:$E$22,2)</f>
        <v>0</v>
      </c>
      <c r="L10" s="62">
        <f t="array" ref="L10">INDEX($D$8:$D$22,MATCH(LARGE($E$8:$E$22,2),$E$8:$E$22,0))</f>
        <v>2900000</v>
      </c>
    </row>
    <row r="11">
      <c r="A11" s="8" t="s">
        <v>116</v>
      </c>
      <c r="B11" s="13">
        <v>210000.0</v>
      </c>
      <c r="C11" s="13">
        <f>IFERROR(ABS(SUMIFS('내역'!E:E,'내역'!C:C,"주거비",'내역'!A:A,"&gt;="&amp;DATE('연간현황'!B3,12,1),'내역'!A:A,"&lt;="&amp;EOMONTH(DATE('연간현황'!B3,12,1),0))),0)</f>
        <v>0</v>
      </c>
      <c r="D11" s="13">
        <f t="shared" si="1"/>
        <v>210000</v>
      </c>
      <c r="E11" s="58">
        <f t="shared" si="2"/>
        <v>0</v>
      </c>
      <c r="F11" s="8" t="str">
        <f t="shared" si="3"/>
        <v>안정</v>
      </c>
      <c r="G11" s="8" t="str">
        <f t="shared" si="4"/>
        <v>░░░░░░░░░░</v>
      </c>
      <c r="I11" s="8">
        <v>3.0</v>
      </c>
      <c r="J11" s="8" t="str">
        <f t="array" ref="J11">INDEX($A$8:$A$22,MATCH(LARGE($E$8:$E$22,3),$E$8:$E$22,0))</f>
        <v>대출</v>
      </c>
      <c r="K11" s="14">
        <f>LARGE($E$8:$E$22,3)</f>
        <v>0</v>
      </c>
      <c r="L11" s="62">
        <f t="array" ref="L11">INDEX($D$8:$D$22,MATCH(LARGE($E$8:$E$22,3),$E$8:$E$22,0))</f>
        <v>2900000</v>
      </c>
    </row>
    <row r="12">
      <c r="A12" s="8" t="s">
        <v>117</v>
      </c>
      <c r="B12" s="13">
        <v>260000.0</v>
      </c>
      <c r="C12" s="13">
        <f>IFERROR(ABS(SUMIFS('내역'!E:E,'내역'!C:C,"생활고정비",'내역'!A:A,"&gt;="&amp;DATE('연간현황'!B3,12,1),'내역'!A:A,"&lt;="&amp;EOMONTH(DATE('연간현황'!B3,12,1),0))),0)</f>
        <v>0</v>
      </c>
      <c r="D12" s="13">
        <f t="shared" si="1"/>
        <v>260000</v>
      </c>
      <c r="E12" s="58">
        <f t="shared" si="2"/>
        <v>0</v>
      </c>
      <c r="F12" s="8" t="str">
        <f t="shared" si="3"/>
        <v>안정</v>
      </c>
      <c r="G12" s="8" t="str">
        <f t="shared" si="4"/>
        <v>░░░░░░░░░░</v>
      </c>
    </row>
    <row r="13">
      <c r="A13" s="8" t="s">
        <v>118</v>
      </c>
      <c r="B13" s="65">
        <v>420000.0</v>
      </c>
      <c r="C13" s="13">
        <f>IFERROR(ABS(SUMIFS('내역'!E:E,'내역'!C:C,"금융고정비",'내역'!A:A,"&gt;="&amp;DATE('연간현황'!B3,12,1),'내역'!A:A,"&lt;="&amp;EOMONTH(DATE('연간현황'!B3,12,1),0))),0)</f>
        <v>0</v>
      </c>
      <c r="D13" s="13">
        <f t="shared" si="1"/>
        <v>420000</v>
      </c>
      <c r="E13" s="58">
        <f t="shared" si="2"/>
        <v>0</v>
      </c>
      <c r="F13" s="8" t="str">
        <f t="shared" si="3"/>
        <v>안정</v>
      </c>
      <c r="G13" s="8" t="str">
        <f t="shared" si="4"/>
        <v>░░░░░░░░░░</v>
      </c>
      <c r="I13" s="10" t="s">
        <v>11</v>
      </c>
    </row>
    <row r="14">
      <c r="A14" s="8" t="s">
        <v>119</v>
      </c>
      <c r="B14" s="13">
        <v>150000.0</v>
      </c>
      <c r="C14" s="13">
        <f>IFERROR(ABS(SUMIFS('내역'!E:E,'내역'!C:C,"교통",'내역'!A:A,"&gt;="&amp;DATE('연간현황'!B3,12,1),'내역'!A:A,"&lt;="&amp;EOMONTH(DATE('연간현황'!B3,12,1),0))),0)</f>
        <v>0</v>
      </c>
      <c r="D14" s="13">
        <f t="shared" si="1"/>
        <v>150000</v>
      </c>
      <c r="E14" s="58">
        <f t="shared" si="2"/>
        <v>0</v>
      </c>
      <c r="F14" s="8" t="str">
        <f t="shared" si="3"/>
        <v>안정</v>
      </c>
      <c r="G14" s="8" t="str">
        <f t="shared" si="4"/>
        <v>░░░░░░░░░░</v>
      </c>
      <c r="I14" s="12" t="s">
        <v>121</v>
      </c>
    </row>
    <row r="15">
      <c r="A15" s="8" t="s">
        <v>122</v>
      </c>
      <c r="B15" s="13">
        <v>800000.0</v>
      </c>
      <c r="C15" s="13">
        <f>IFERROR(ABS(SUMIFS('내역'!E:E,'내역'!C:C,"식비",'내역'!A:A,"&gt;="&amp;DATE('연간현황'!B3,12,1),'내역'!A:A,"&lt;="&amp;EOMONTH(DATE('연간현황'!B3,12,1),0))),0)</f>
        <v>0</v>
      </c>
      <c r="D15" s="13">
        <f t="shared" si="1"/>
        <v>800000</v>
      </c>
      <c r="E15" s="58">
        <f t="shared" si="2"/>
        <v>0</v>
      </c>
      <c r="F15" s="8" t="str">
        <f t="shared" si="3"/>
        <v>안정</v>
      </c>
      <c r="G15" s="8" t="str">
        <f t="shared" si="4"/>
        <v>░░░░░░░░░░</v>
      </c>
      <c r="I15" s="12" t="s">
        <v>123</v>
      </c>
    </row>
    <row r="16">
      <c r="A16" s="8" t="s">
        <v>124</v>
      </c>
      <c r="B16" s="65">
        <v>500000.0</v>
      </c>
      <c r="C16" s="13">
        <f>IFERROR(ABS(SUMIFS('내역'!E:E,'내역'!C:C,"육아",'내역'!A:A,"&gt;="&amp;DATE('연간현황'!B3,12,1),'내역'!A:A,"&lt;="&amp;EOMONTH(DATE('연간현황'!B3,12,1),0))),0)</f>
        <v>0</v>
      </c>
      <c r="D16" s="13">
        <f t="shared" si="1"/>
        <v>500000</v>
      </c>
      <c r="E16" s="58">
        <f t="shared" si="2"/>
        <v>0</v>
      </c>
      <c r="F16" s="8" t="str">
        <f t="shared" si="3"/>
        <v>안정</v>
      </c>
      <c r="G16" s="8" t="str">
        <f t="shared" si="4"/>
        <v>░░░░░░░░░░</v>
      </c>
      <c r="I16" s="12" t="s">
        <v>125</v>
      </c>
    </row>
    <row r="17">
      <c r="A17" s="64" t="s">
        <v>126</v>
      </c>
      <c r="B17" s="65">
        <v>150000.0</v>
      </c>
      <c r="C17" s="13">
        <f>MAX(0, IFERROR(ABS(SUMIFS('내역'!E:E,'내역'!C:C,"의료비",'내역'!A:A,"&gt;="&amp;DATE('연간현황'!B3,12,1),'내역'!A:A,"&lt;="&amp;EOMONTH(DATE('연간현황'!B3,12,1),0)))-ABS(SUMIFS('내역'!E:E,'내역'!C:C,"실비",'내역'!A:A,"&gt;="&amp;DATE('연간현황'!B3,12,1),'내역'!A:A,"&lt;="&amp;EOMONTH(DATE('연간현황'!B3,12,1),0))),0))</f>
        <v>0</v>
      </c>
      <c r="D17" s="13">
        <f t="shared" si="1"/>
        <v>150000</v>
      </c>
      <c r="E17" s="58">
        <f t="shared" si="2"/>
        <v>0</v>
      </c>
      <c r="F17" s="8" t="str">
        <f t="shared" si="3"/>
        <v>안정</v>
      </c>
      <c r="G17" s="8" t="str">
        <f t="shared" si="4"/>
        <v>░░░░░░░░░░</v>
      </c>
      <c r="I17" s="12" t="s">
        <v>127</v>
      </c>
    </row>
    <row r="18">
      <c r="A18" s="8" t="s">
        <v>128</v>
      </c>
      <c r="B18" s="13">
        <v>300000.0</v>
      </c>
      <c r="C18" s="13">
        <f>IFERROR(ABS(SUMIFS('내역'!E:E,'내역'!C:C,"기타생활비",'내역'!A:A,"&gt;="&amp;DATE('연간현황'!B3,12,1),'내역'!A:A,"&lt;="&amp;EOMONTH(DATE('연간현황'!B3,12,1),0))),0)</f>
        <v>0</v>
      </c>
      <c r="D18" s="13">
        <f t="shared" si="1"/>
        <v>300000</v>
      </c>
      <c r="E18" s="58">
        <f t="shared" si="2"/>
        <v>0</v>
      </c>
      <c r="F18" s="8" t="str">
        <f t="shared" si="3"/>
        <v>안정</v>
      </c>
      <c r="G18" s="8" t="str">
        <f t="shared" si="4"/>
        <v>░░░░░░░░░░</v>
      </c>
    </row>
    <row r="19">
      <c r="A19" s="8" t="s">
        <v>129</v>
      </c>
      <c r="B19" s="13">
        <v>100000.0</v>
      </c>
      <c r="C19" s="13">
        <f>IFERROR(ABS(SUMIFS('내역'!E:E,'내역'!C:C,"이벤트",'내역'!A:A,"&gt;="&amp;DATE('연간현황'!B3,12,1),'내역'!A:A,"&lt;="&amp;EOMONTH(DATE('연간현황'!B3,12,1),0))),0)</f>
        <v>0</v>
      </c>
      <c r="D19" s="13">
        <f t="shared" si="1"/>
        <v>100000</v>
      </c>
      <c r="E19" s="58">
        <f t="shared" si="2"/>
        <v>0</v>
      </c>
      <c r="F19" s="8" t="str">
        <f t="shared" si="3"/>
        <v>안정</v>
      </c>
      <c r="G19" s="8" t="str">
        <f t="shared" si="4"/>
        <v>░░░░░░░░░░</v>
      </c>
    </row>
    <row r="20">
      <c r="A20" s="64" t="s">
        <v>136</v>
      </c>
      <c r="B20" s="65">
        <v>0.0</v>
      </c>
      <c r="C20" s="13">
        <f>IFERROR(ABS(SUMIFS('내역'!E:E,'내역'!C:C,"세금",'내역'!A:A,"&gt;="&amp;DATE('연간현황'!B3,12,1),'내역'!A:A,"&lt;="&amp;EOMONTH(DATE('연간현황'!B3,12,1),0))),0)</f>
        <v>0</v>
      </c>
      <c r="D20" s="13">
        <f t="shared" si="1"/>
        <v>0</v>
      </c>
      <c r="E20" s="58">
        <f t="shared" si="2"/>
        <v>0</v>
      </c>
      <c r="F20" s="8" t="str">
        <f t="shared" si="3"/>
        <v>안정</v>
      </c>
      <c r="G20" s="8" t="str">
        <f t="shared" si="4"/>
        <v>░░░░░░░░░░</v>
      </c>
    </row>
    <row r="21">
      <c r="A21" s="8" t="s">
        <v>130</v>
      </c>
      <c r="B21" s="65">
        <v>200000.0</v>
      </c>
      <c r="C21" s="13">
        <f>IFERROR(ABS(SUMIFS('내역'!E:E,'내역'!C:C,"기석용돈",'내역'!A:A,"&gt;="&amp;DATE('연간현황'!B3,12,1),'내역'!A:A,"&lt;="&amp;EOMONTH(DATE('연간현황'!B3,12,1),0))),0)</f>
        <v>0</v>
      </c>
      <c r="D21" s="13">
        <f t="shared" si="1"/>
        <v>200000</v>
      </c>
      <c r="E21" s="58">
        <f t="shared" si="2"/>
        <v>0</v>
      </c>
      <c r="F21" s="8" t="str">
        <f t="shared" si="3"/>
        <v>안정</v>
      </c>
      <c r="G21" s="8" t="str">
        <f t="shared" si="4"/>
        <v>░░░░░░░░░░</v>
      </c>
    </row>
    <row r="22">
      <c r="A22" s="8" t="s">
        <v>131</v>
      </c>
      <c r="B22" s="65">
        <v>200000.0</v>
      </c>
      <c r="C22" s="13">
        <f>IFERROR(ABS(SUMIFS('내역'!E:E,'내역'!C:C,"승주용돈",'내역'!A:A,"&gt;="&amp;DATE('연간현황'!B3,12,1),'내역'!A:A,"&lt;="&amp;EOMONTH(DATE('연간현황'!B3,12,1),0))),0)</f>
        <v>0</v>
      </c>
      <c r="D22" s="13">
        <f t="shared" si="1"/>
        <v>200000</v>
      </c>
      <c r="E22" s="58">
        <f t="shared" si="2"/>
        <v>0</v>
      </c>
      <c r="F22" s="8" t="str">
        <f t="shared" si="3"/>
        <v>안정</v>
      </c>
      <c r="G22" s="8" t="str">
        <f t="shared" si="4"/>
        <v>░░░░░░░░░░</v>
      </c>
    </row>
    <row r="23" ht="15.75" customHeight="1">
      <c r="A23" s="66" t="s">
        <v>115</v>
      </c>
      <c r="B23" s="67">
        <f t="shared" ref="B23:D23" si="5">SUM(B8:B22)</f>
        <v>6880000</v>
      </c>
      <c r="C23" s="67">
        <f t="shared" si="5"/>
        <v>0</v>
      </c>
      <c r="D23" s="67">
        <f t="shared" si="5"/>
        <v>6880000</v>
      </c>
      <c r="E23" s="68">
        <f t="shared" si="2"/>
        <v>0</v>
      </c>
      <c r="F23" s="66" t="str">
        <f t="shared" si="3"/>
        <v>안정</v>
      </c>
      <c r="G23" s="66" t="str">
        <f t="shared" si="4"/>
        <v>░░░░░░░░░░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D8:D23">
    <cfRule type="cellIs" dxfId="0" priority="1" operator="lessThan">
      <formula>0</formula>
    </cfRule>
  </conditionalFormatting>
  <conditionalFormatting sqref="D8:D23">
    <cfRule type="cellIs" dxfId="1" priority="2" operator="greaterThanOrEqual">
      <formula>0</formula>
    </cfRule>
  </conditionalFormatting>
  <conditionalFormatting sqref="D8:D23">
    <cfRule type="cellIs" dxfId="2" priority="3" operator="lessThan">
      <formula>0</formula>
    </cfRule>
  </conditionalFormatting>
  <conditionalFormatting sqref="F8:F23">
    <cfRule type="expression" dxfId="0" priority="4">
      <formula>$F8="초과"</formula>
    </cfRule>
  </conditionalFormatting>
  <conditionalFormatting sqref="F8:F23">
    <cfRule type="expression" dxfId="3" priority="5">
      <formula>$F8="주의"</formula>
    </cfRule>
  </conditionalFormatting>
  <conditionalFormatting sqref="F8:F23">
    <cfRule type="expression" dxfId="1" priority="6">
      <formula>$F8="안정"</formula>
    </cfRule>
  </conditionalFormatting>
  <conditionalFormatting sqref="F8:F23">
    <cfRule type="cellIs" dxfId="2" priority="7" operator="equal">
      <formula>"초과"</formula>
    </cfRule>
  </conditionalFormatting>
  <conditionalFormatting sqref="F8:F23">
    <cfRule type="cellIs" dxfId="0" priority="8" operator="equal">
      <formula>"주의"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2.0"/>
    <col customWidth="1" min="3" max="3" width="18.0"/>
    <col customWidth="1" min="4" max="4" width="36.0"/>
    <col customWidth="1" min="5" max="5" width="16.0"/>
    <col customWidth="1" min="6" max="6" width="14.0"/>
    <col customWidth="1" min="7" max="7" width="128.57"/>
    <col customWidth="1" min="8" max="8" width="36.0"/>
    <col customWidth="1" min="9" max="26" width="8.71"/>
  </cols>
  <sheetData>
    <row r="1">
      <c r="A1" s="7" t="s">
        <v>142</v>
      </c>
    </row>
    <row r="2">
      <c r="A2" s="3" t="s">
        <v>143</v>
      </c>
    </row>
    <row r="4">
      <c r="A4" s="36" t="s">
        <v>144</v>
      </c>
      <c r="B4" s="36" t="s">
        <v>145</v>
      </c>
      <c r="C4" s="36" t="s">
        <v>146</v>
      </c>
      <c r="D4" s="36" t="s">
        <v>147</v>
      </c>
      <c r="E4" s="36" t="s">
        <v>148</v>
      </c>
      <c r="F4" s="36" t="s">
        <v>149</v>
      </c>
      <c r="G4" s="70" t="s">
        <v>11</v>
      </c>
    </row>
    <row r="5" hidden="1">
      <c r="A5" s="71">
        <v>46143.0</v>
      </c>
      <c r="B5" s="72" t="s">
        <v>150</v>
      </c>
      <c r="C5" s="72" t="s">
        <v>122</v>
      </c>
      <c r="D5" s="72" t="s">
        <v>151</v>
      </c>
      <c r="E5" s="73">
        <v>-20070.0</v>
      </c>
      <c r="G5" s="74" t="s">
        <v>152</v>
      </c>
    </row>
    <row r="6" hidden="1">
      <c r="A6" s="71">
        <v>46143.0</v>
      </c>
      <c r="B6" s="72" t="s">
        <v>153</v>
      </c>
      <c r="C6" s="72" t="s">
        <v>9</v>
      </c>
      <c r="D6" s="72" t="s">
        <v>154</v>
      </c>
      <c r="E6" s="73">
        <v>42.0</v>
      </c>
      <c r="G6" s="74" t="s">
        <v>155</v>
      </c>
    </row>
    <row r="7" hidden="1">
      <c r="A7" s="71">
        <v>46143.0</v>
      </c>
      <c r="B7" s="72" t="s">
        <v>150</v>
      </c>
      <c r="C7" s="72" t="s">
        <v>122</v>
      </c>
      <c r="D7" s="72" t="s">
        <v>156</v>
      </c>
      <c r="E7" s="73">
        <v>-9900.0</v>
      </c>
      <c r="G7" s="74" t="s">
        <v>157</v>
      </c>
    </row>
    <row r="8" hidden="1">
      <c r="A8" s="71">
        <v>46143.0</v>
      </c>
      <c r="B8" s="72" t="s">
        <v>150</v>
      </c>
      <c r="C8" s="72" t="s">
        <v>122</v>
      </c>
      <c r="D8" s="72" t="s">
        <v>158</v>
      </c>
      <c r="E8" s="73">
        <v>-9500.0</v>
      </c>
      <c r="G8" s="74" t="s">
        <v>159</v>
      </c>
      <c r="H8" s="5" t="s">
        <v>160</v>
      </c>
    </row>
    <row r="9" hidden="1">
      <c r="A9" s="71">
        <v>46143.0</v>
      </c>
      <c r="B9" s="72" t="s">
        <v>153</v>
      </c>
      <c r="C9" s="72" t="s">
        <v>161</v>
      </c>
      <c r="D9" s="72" t="s">
        <v>162</v>
      </c>
      <c r="E9" s="73">
        <v>34.0</v>
      </c>
      <c r="G9" s="74" t="s">
        <v>163</v>
      </c>
      <c r="H9" s="5" t="s">
        <v>3</v>
      </c>
    </row>
    <row r="10" hidden="1">
      <c r="A10" s="75">
        <v>46143.0</v>
      </c>
      <c r="B10" s="72" t="s">
        <v>150</v>
      </c>
      <c r="C10" s="72" t="s">
        <v>117</v>
      </c>
      <c r="D10" s="72" t="s">
        <v>164</v>
      </c>
      <c r="E10" s="73">
        <v>-20000.0</v>
      </c>
      <c r="H10" s="5" t="s">
        <v>4</v>
      </c>
    </row>
    <row r="11" hidden="1">
      <c r="A11" s="71">
        <v>46143.0</v>
      </c>
      <c r="B11" s="72" t="s">
        <v>150</v>
      </c>
      <c r="C11" s="72" t="s">
        <v>122</v>
      </c>
      <c r="D11" s="72" t="s">
        <v>165</v>
      </c>
      <c r="E11" s="73">
        <v>-8460.0</v>
      </c>
      <c r="H11" s="5" t="s">
        <v>6</v>
      </c>
    </row>
    <row r="12" hidden="1">
      <c r="A12" s="71">
        <v>46144.0</v>
      </c>
      <c r="B12" s="72" t="s">
        <v>166</v>
      </c>
      <c r="C12" s="72" t="s">
        <v>166</v>
      </c>
      <c r="D12" s="72" t="s">
        <v>167</v>
      </c>
      <c r="E12" s="73">
        <v>30000.0</v>
      </c>
      <c r="H12" s="5" t="s">
        <v>7</v>
      </c>
    </row>
    <row r="13" hidden="1">
      <c r="A13" s="71">
        <v>46144.0</v>
      </c>
      <c r="B13" s="72" t="s">
        <v>150</v>
      </c>
      <c r="C13" s="72" t="s">
        <v>130</v>
      </c>
      <c r="D13" s="72" t="s">
        <v>168</v>
      </c>
      <c r="E13" s="73">
        <v>-10000.0</v>
      </c>
      <c r="H13" s="5" t="s">
        <v>9</v>
      </c>
    </row>
    <row r="14" hidden="1">
      <c r="A14" s="71">
        <v>46144.0</v>
      </c>
      <c r="B14" s="72" t="s">
        <v>150</v>
      </c>
      <c r="C14" s="72" t="s">
        <v>122</v>
      </c>
      <c r="D14" s="72" t="s">
        <v>169</v>
      </c>
      <c r="E14" s="73">
        <v>-35600.0</v>
      </c>
      <c r="H14" s="5"/>
    </row>
    <row r="15" hidden="1">
      <c r="A15" s="71">
        <v>46144.0</v>
      </c>
      <c r="B15" s="72" t="s">
        <v>150</v>
      </c>
      <c r="C15" s="72" t="s">
        <v>122</v>
      </c>
      <c r="D15" s="72" t="s">
        <v>170</v>
      </c>
      <c r="E15" s="73">
        <v>-20000.0</v>
      </c>
      <c r="H15" s="5" t="s">
        <v>171</v>
      </c>
    </row>
    <row r="16" hidden="1">
      <c r="A16" s="71">
        <v>46144.0</v>
      </c>
      <c r="B16" s="72" t="s">
        <v>150</v>
      </c>
      <c r="C16" s="72" t="s">
        <v>122</v>
      </c>
      <c r="D16" s="72" t="s">
        <v>172</v>
      </c>
      <c r="E16" s="73">
        <v>-7000.0</v>
      </c>
    </row>
    <row r="17" hidden="1">
      <c r="A17" s="75">
        <v>46144.0</v>
      </c>
      <c r="B17" s="72" t="s">
        <v>166</v>
      </c>
      <c r="C17" s="72" t="s">
        <v>173</v>
      </c>
      <c r="D17" s="72" t="s">
        <v>154</v>
      </c>
      <c r="E17" s="73">
        <v>-1320.0</v>
      </c>
    </row>
    <row r="18" hidden="1">
      <c r="A18" s="75">
        <v>46144.0</v>
      </c>
      <c r="B18" s="72" t="s">
        <v>166</v>
      </c>
      <c r="C18" s="72" t="s">
        <v>174</v>
      </c>
      <c r="D18" s="72" t="s">
        <v>175</v>
      </c>
      <c r="E18" s="73">
        <v>120000.0</v>
      </c>
    </row>
    <row r="19" hidden="1">
      <c r="A19" s="71">
        <v>46145.0</v>
      </c>
      <c r="B19" s="72" t="s">
        <v>150</v>
      </c>
      <c r="C19" s="72" t="s">
        <v>122</v>
      </c>
      <c r="D19" s="72" t="s">
        <v>176</v>
      </c>
      <c r="E19" s="73">
        <v>-7000.0</v>
      </c>
    </row>
    <row r="20" hidden="1">
      <c r="A20" s="71">
        <v>46145.0</v>
      </c>
      <c r="B20" s="72" t="s">
        <v>150</v>
      </c>
      <c r="C20" s="72" t="s">
        <v>126</v>
      </c>
      <c r="D20" s="72" t="s">
        <v>177</v>
      </c>
      <c r="E20" s="73">
        <v>-3100.0</v>
      </c>
    </row>
    <row r="21" ht="15.75" hidden="1" customHeight="1">
      <c r="A21" s="71">
        <v>46145.0</v>
      </c>
      <c r="B21" s="72" t="s">
        <v>150</v>
      </c>
      <c r="C21" s="72" t="s">
        <v>126</v>
      </c>
      <c r="D21" s="72" t="s">
        <v>178</v>
      </c>
      <c r="E21" s="73">
        <v>-14000.0</v>
      </c>
    </row>
    <row r="22" ht="15.75" hidden="1" customHeight="1">
      <c r="A22" s="71">
        <v>46146.0</v>
      </c>
      <c r="B22" s="72" t="s">
        <v>166</v>
      </c>
      <c r="C22" s="72" t="s">
        <v>179</v>
      </c>
      <c r="D22" s="72" t="s">
        <v>180</v>
      </c>
      <c r="E22" s="73">
        <v>100000.0</v>
      </c>
    </row>
    <row r="23" ht="15.75" hidden="1" customHeight="1">
      <c r="A23" s="71">
        <v>46146.0</v>
      </c>
      <c r="B23" s="72" t="s">
        <v>150</v>
      </c>
      <c r="C23" s="72" t="s">
        <v>118</v>
      </c>
      <c r="D23" s="72" t="s">
        <v>181</v>
      </c>
      <c r="E23" s="73">
        <v>-100000.0</v>
      </c>
    </row>
    <row r="24" ht="15.75" hidden="1" customHeight="1">
      <c r="A24" s="71">
        <v>46146.0</v>
      </c>
      <c r="B24" s="72" t="s">
        <v>150</v>
      </c>
      <c r="C24" s="72" t="s">
        <v>124</v>
      </c>
      <c r="D24" s="72" t="s">
        <v>182</v>
      </c>
      <c r="E24" s="73">
        <v>-12500.0</v>
      </c>
    </row>
    <row r="25" ht="15.75" hidden="1" customHeight="1">
      <c r="A25" s="71">
        <v>46146.0</v>
      </c>
      <c r="B25" s="72" t="s">
        <v>150</v>
      </c>
      <c r="C25" s="72" t="s">
        <v>130</v>
      </c>
      <c r="D25" s="72" t="s">
        <v>168</v>
      </c>
      <c r="E25" s="73">
        <v>-10000.0</v>
      </c>
    </row>
    <row r="26" ht="15.75" hidden="1" customHeight="1">
      <c r="A26" s="71">
        <v>46146.0</v>
      </c>
      <c r="B26" s="72" t="s">
        <v>166</v>
      </c>
      <c r="C26" s="72" t="s">
        <v>173</v>
      </c>
      <c r="D26" s="72" t="s">
        <v>183</v>
      </c>
      <c r="E26" s="73">
        <v>1.0</v>
      </c>
    </row>
    <row r="27" ht="15.75" hidden="1" customHeight="1">
      <c r="A27" s="71">
        <v>46146.0</v>
      </c>
      <c r="B27" s="72" t="s">
        <v>166</v>
      </c>
      <c r="C27" s="72" t="s">
        <v>173</v>
      </c>
      <c r="D27" s="72" t="s">
        <v>183</v>
      </c>
      <c r="E27" s="73">
        <v>1.0</v>
      </c>
    </row>
    <row r="28" ht="15.75" hidden="1" customHeight="1">
      <c r="A28" s="71">
        <v>46146.0</v>
      </c>
      <c r="B28" s="72" t="s">
        <v>166</v>
      </c>
      <c r="C28" s="72" t="s">
        <v>173</v>
      </c>
      <c r="D28" s="72" t="s">
        <v>183</v>
      </c>
      <c r="E28" s="73">
        <v>1.0</v>
      </c>
    </row>
    <row r="29" ht="15.75" hidden="1" customHeight="1">
      <c r="A29" s="71">
        <v>46146.0</v>
      </c>
      <c r="B29" s="72" t="s">
        <v>150</v>
      </c>
      <c r="C29" s="72" t="s">
        <v>129</v>
      </c>
      <c r="D29" s="72" t="s">
        <v>184</v>
      </c>
      <c r="E29" s="73">
        <v>-42999.0</v>
      </c>
    </row>
    <row r="30" ht="15.75" hidden="1" customHeight="1">
      <c r="A30" s="71">
        <v>46146.0</v>
      </c>
      <c r="B30" s="72" t="s">
        <v>150</v>
      </c>
      <c r="C30" s="72" t="s">
        <v>122</v>
      </c>
      <c r="D30" s="72" t="s">
        <v>158</v>
      </c>
      <c r="E30" s="73">
        <v>-16960.0</v>
      </c>
    </row>
    <row r="31" ht="15.75" hidden="1" customHeight="1">
      <c r="A31" s="71">
        <v>46146.0</v>
      </c>
      <c r="B31" s="72" t="s">
        <v>153</v>
      </c>
      <c r="C31" s="72" t="s">
        <v>9</v>
      </c>
      <c r="D31" s="72" t="s">
        <v>185</v>
      </c>
      <c r="E31" s="73">
        <v>620.0</v>
      </c>
    </row>
    <row r="32" ht="15.75" hidden="1" customHeight="1">
      <c r="A32" s="71">
        <v>46146.0</v>
      </c>
      <c r="B32" s="72" t="s">
        <v>166</v>
      </c>
      <c r="C32" s="72" t="s">
        <v>179</v>
      </c>
      <c r="D32" s="72" t="s">
        <v>186</v>
      </c>
      <c r="E32" s="73">
        <v>-250000.0</v>
      </c>
    </row>
    <row r="33" ht="15.75" hidden="1" customHeight="1">
      <c r="A33" s="71">
        <v>46146.0</v>
      </c>
      <c r="B33" s="72" t="s">
        <v>166</v>
      </c>
      <c r="C33" s="72" t="s">
        <v>179</v>
      </c>
      <c r="D33" s="72" t="s">
        <v>186</v>
      </c>
      <c r="E33" s="73">
        <v>-3600000.0</v>
      </c>
    </row>
    <row r="34" ht="15.75" hidden="1" customHeight="1">
      <c r="A34" s="71">
        <v>46146.0</v>
      </c>
      <c r="B34" s="72" t="s">
        <v>166</v>
      </c>
      <c r="C34" s="72" t="s">
        <v>179</v>
      </c>
      <c r="D34" s="72" t="s">
        <v>130</v>
      </c>
      <c r="E34" s="73">
        <v>-240807.0</v>
      </c>
    </row>
    <row r="35" ht="15.75" hidden="1" customHeight="1">
      <c r="A35" s="71">
        <v>46146.0</v>
      </c>
      <c r="B35" s="72" t="s">
        <v>166</v>
      </c>
      <c r="C35" s="72" t="s">
        <v>179</v>
      </c>
      <c r="D35" s="72" t="s">
        <v>186</v>
      </c>
      <c r="E35" s="73">
        <v>240807.0</v>
      </c>
    </row>
    <row r="36" ht="15.75" hidden="1" customHeight="1">
      <c r="A36" s="71">
        <v>46146.0</v>
      </c>
      <c r="B36" s="72" t="s">
        <v>166</v>
      </c>
      <c r="C36" s="72" t="s">
        <v>179</v>
      </c>
      <c r="D36" s="72" t="s">
        <v>187</v>
      </c>
      <c r="E36" s="73">
        <v>3619300.0</v>
      </c>
    </row>
    <row r="37" ht="15.75" hidden="1" customHeight="1">
      <c r="A37" s="71">
        <v>46146.0</v>
      </c>
      <c r="B37" s="72" t="s">
        <v>166</v>
      </c>
      <c r="C37" s="72" t="s">
        <v>179</v>
      </c>
      <c r="D37" s="72" t="s">
        <v>186</v>
      </c>
      <c r="E37" s="73">
        <v>-3619300.0</v>
      </c>
    </row>
    <row r="38" ht="15.75" hidden="1" customHeight="1">
      <c r="A38" s="71">
        <v>46146.0</v>
      </c>
      <c r="B38" s="72" t="s">
        <v>166</v>
      </c>
      <c r="C38" s="72" t="s">
        <v>179</v>
      </c>
      <c r="D38" s="72" t="s">
        <v>186</v>
      </c>
      <c r="E38" s="73">
        <v>1.0E8</v>
      </c>
    </row>
    <row r="39" ht="15.75" hidden="1" customHeight="1">
      <c r="A39" s="71">
        <v>46146.0</v>
      </c>
      <c r="B39" s="72" t="s">
        <v>166</v>
      </c>
      <c r="C39" s="72" t="s">
        <v>179</v>
      </c>
      <c r="D39" s="72" t="s">
        <v>186</v>
      </c>
      <c r="E39" s="73">
        <v>-1.0E8</v>
      </c>
    </row>
    <row r="40" ht="15.75" hidden="1" customHeight="1">
      <c r="A40" s="71">
        <v>46146.0</v>
      </c>
      <c r="B40" s="72" t="s">
        <v>166</v>
      </c>
      <c r="C40" s="72" t="s">
        <v>166</v>
      </c>
      <c r="D40" s="72" t="s">
        <v>188</v>
      </c>
      <c r="E40" s="73">
        <v>1.0</v>
      </c>
    </row>
    <row r="41" ht="15.75" hidden="1" customHeight="1">
      <c r="A41" s="71">
        <v>46146.0</v>
      </c>
      <c r="B41" s="72" t="s">
        <v>166</v>
      </c>
      <c r="C41" s="72" t="s">
        <v>166</v>
      </c>
      <c r="D41" s="72" t="s">
        <v>189</v>
      </c>
      <c r="E41" s="73">
        <v>1.0</v>
      </c>
    </row>
    <row r="42" ht="15.75" hidden="1" customHeight="1">
      <c r="A42" s="71">
        <v>46146.0</v>
      </c>
      <c r="B42" s="72" t="s">
        <v>166</v>
      </c>
      <c r="C42" s="72" t="s">
        <v>179</v>
      </c>
      <c r="D42" s="72" t="s">
        <v>186</v>
      </c>
      <c r="E42" s="73">
        <v>1.0E8</v>
      </c>
    </row>
    <row r="43" ht="15.75" hidden="1" customHeight="1">
      <c r="A43" s="71">
        <v>46146.0</v>
      </c>
      <c r="B43" s="72" t="s">
        <v>166</v>
      </c>
      <c r="C43" s="72" t="s">
        <v>179</v>
      </c>
      <c r="D43" s="72" t="s">
        <v>186</v>
      </c>
      <c r="E43" s="73">
        <v>-1.0E8</v>
      </c>
    </row>
    <row r="44" ht="15.75" hidden="1" customHeight="1">
      <c r="A44" s="71">
        <v>46146.0</v>
      </c>
      <c r="B44" s="72" t="s">
        <v>153</v>
      </c>
      <c r="C44" s="72" t="s">
        <v>4</v>
      </c>
      <c r="D44" s="72" t="s">
        <v>190</v>
      </c>
      <c r="E44" s="73">
        <v>3619300.0</v>
      </c>
    </row>
    <row r="45" ht="15.75" hidden="1" customHeight="1">
      <c r="A45" s="75">
        <v>46146.0</v>
      </c>
      <c r="B45" s="72" t="s">
        <v>166</v>
      </c>
      <c r="C45" s="72" t="s">
        <v>161</v>
      </c>
      <c r="D45" s="72" t="s">
        <v>191</v>
      </c>
      <c r="E45" s="73">
        <v>-475000.0</v>
      </c>
    </row>
    <row r="46" ht="15.75" hidden="1" customHeight="1">
      <c r="A46" s="75">
        <v>46146.0</v>
      </c>
      <c r="B46" s="72" t="s">
        <v>153</v>
      </c>
      <c r="C46" s="72" t="s">
        <v>9</v>
      </c>
      <c r="D46" s="72" t="s">
        <v>191</v>
      </c>
      <c r="E46" s="73">
        <v>25000.0</v>
      </c>
    </row>
    <row r="47" ht="15.75" hidden="1" customHeight="1">
      <c r="A47" s="75">
        <v>46146.0</v>
      </c>
      <c r="B47" s="72" t="s">
        <v>166</v>
      </c>
      <c r="C47" s="72" t="s">
        <v>166</v>
      </c>
      <c r="D47" s="72" t="s">
        <v>186</v>
      </c>
      <c r="E47" s="73">
        <v>500000.0</v>
      </c>
    </row>
    <row r="48" ht="15.75" hidden="1" customHeight="1">
      <c r="A48" s="75">
        <v>46146.0</v>
      </c>
      <c r="B48" s="72" t="s">
        <v>166</v>
      </c>
      <c r="C48" s="72" t="s">
        <v>166</v>
      </c>
      <c r="D48" s="72" t="s">
        <v>192</v>
      </c>
      <c r="E48" s="73">
        <v>-30000.0</v>
      </c>
    </row>
    <row r="49" ht="15.75" hidden="1" customHeight="1">
      <c r="A49" s="75">
        <v>46146.0</v>
      </c>
      <c r="B49" s="72" t="s">
        <v>166</v>
      </c>
      <c r="C49" s="72" t="s">
        <v>166</v>
      </c>
      <c r="D49" s="72" t="s">
        <v>192</v>
      </c>
      <c r="E49" s="73">
        <v>-1100000.0</v>
      </c>
    </row>
    <row r="50" ht="15.75" hidden="1" customHeight="1">
      <c r="A50" s="75">
        <v>46146.0</v>
      </c>
      <c r="B50" s="72" t="s">
        <v>150</v>
      </c>
      <c r="C50" s="72" t="s">
        <v>124</v>
      </c>
      <c r="D50" s="72" t="s">
        <v>193</v>
      </c>
      <c r="E50" s="73">
        <v>-727.0</v>
      </c>
    </row>
    <row r="51" ht="15.75" hidden="1" customHeight="1">
      <c r="A51" s="75">
        <v>46146.0</v>
      </c>
      <c r="B51" s="72" t="s">
        <v>150</v>
      </c>
      <c r="C51" s="72" t="s">
        <v>124</v>
      </c>
      <c r="D51" s="72" t="s">
        <v>193</v>
      </c>
      <c r="E51" s="73">
        <v>-24273.0</v>
      </c>
    </row>
    <row r="52" ht="15.75" hidden="1" customHeight="1">
      <c r="A52" s="71">
        <v>46146.0</v>
      </c>
      <c r="B52" s="72" t="s">
        <v>150</v>
      </c>
      <c r="C52" s="72" t="s">
        <v>122</v>
      </c>
      <c r="D52" s="72" t="s">
        <v>194</v>
      </c>
      <c r="E52" s="73">
        <v>-15999.0</v>
      </c>
    </row>
    <row r="53" ht="15.75" hidden="1" customHeight="1">
      <c r="A53" s="71">
        <v>46147.0</v>
      </c>
      <c r="B53" s="72" t="s">
        <v>153</v>
      </c>
      <c r="C53" s="72" t="s">
        <v>9</v>
      </c>
      <c r="D53" s="72" t="s">
        <v>154</v>
      </c>
      <c r="E53" s="73">
        <v>35.0</v>
      </c>
    </row>
    <row r="54" ht="15.75" hidden="1" customHeight="1">
      <c r="A54" s="71">
        <v>46147.0</v>
      </c>
      <c r="B54" s="72" t="s">
        <v>150</v>
      </c>
      <c r="C54" s="72" t="s">
        <v>122</v>
      </c>
      <c r="D54" s="72" t="s">
        <v>195</v>
      </c>
      <c r="E54" s="73">
        <v>-9900.0</v>
      </c>
    </row>
    <row r="55" ht="15.75" hidden="1" customHeight="1">
      <c r="A55" s="71">
        <v>46147.0</v>
      </c>
      <c r="B55" s="72" t="s">
        <v>166</v>
      </c>
      <c r="C55" s="72" t="s">
        <v>179</v>
      </c>
      <c r="D55" s="72" t="s">
        <v>186</v>
      </c>
      <c r="E55" s="73">
        <v>9900.0</v>
      </c>
    </row>
    <row r="56" ht="15.75" hidden="1" customHeight="1">
      <c r="A56" s="71">
        <v>46147.0</v>
      </c>
      <c r="B56" s="72" t="s">
        <v>150</v>
      </c>
      <c r="C56" s="72" t="s">
        <v>124</v>
      </c>
      <c r="D56" s="72" t="s">
        <v>196</v>
      </c>
      <c r="E56" s="73">
        <v>-18450.0</v>
      </c>
    </row>
    <row r="57" ht="15.75" hidden="1" customHeight="1">
      <c r="A57" s="71">
        <v>46147.0</v>
      </c>
      <c r="B57" s="72" t="s">
        <v>153</v>
      </c>
      <c r="C57" s="72" t="s">
        <v>9</v>
      </c>
      <c r="D57" s="72" t="s">
        <v>154</v>
      </c>
      <c r="E57" s="73">
        <v>49.0</v>
      </c>
    </row>
    <row r="58" ht="15.75" hidden="1" customHeight="1">
      <c r="A58" s="71">
        <v>46147.0</v>
      </c>
      <c r="B58" s="72" t="s">
        <v>150</v>
      </c>
      <c r="C58" s="72" t="s">
        <v>122</v>
      </c>
      <c r="D58" s="72" t="s">
        <v>197</v>
      </c>
      <c r="E58" s="73">
        <v>-7000.0</v>
      </c>
    </row>
    <row r="59" ht="15.75" hidden="1" customHeight="1">
      <c r="A59" s="71">
        <v>46147.0</v>
      </c>
      <c r="B59" s="72" t="s">
        <v>150</v>
      </c>
      <c r="C59" s="72" t="s">
        <v>124</v>
      </c>
      <c r="D59" s="72" t="s">
        <v>198</v>
      </c>
      <c r="E59" s="73">
        <v>-8900.0</v>
      </c>
    </row>
    <row r="60" ht="15.75" hidden="1" customHeight="1">
      <c r="A60" s="75">
        <v>46147.0</v>
      </c>
      <c r="B60" s="72" t="s">
        <v>153</v>
      </c>
      <c r="C60" s="72" t="s">
        <v>9</v>
      </c>
      <c r="D60" s="72" t="s">
        <v>154</v>
      </c>
      <c r="E60" s="73">
        <v>193.0</v>
      </c>
    </row>
    <row r="61" ht="15.75" hidden="1" customHeight="1">
      <c r="A61" s="75">
        <v>46147.0</v>
      </c>
      <c r="B61" s="72" t="s">
        <v>150</v>
      </c>
      <c r="C61" s="72" t="s">
        <v>124</v>
      </c>
      <c r="D61" s="72" t="s">
        <v>199</v>
      </c>
      <c r="E61" s="73">
        <v>-19340.0</v>
      </c>
    </row>
    <row r="62" ht="15.75" hidden="1" customHeight="1">
      <c r="A62" s="75">
        <v>46147.0</v>
      </c>
      <c r="B62" s="72" t="s">
        <v>153</v>
      </c>
      <c r="C62" s="72" t="s">
        <v>9</v>
      </c>
      <c r="D62" s="72" t="s">
        <v>200</v>
      </c>
      <c r="E62" s="73">
        <v>100000.0</v>
      </c>
    </row>
    <row r="63" ht="15.75" hidden="1" customHeight="1">
      <c r="A63" s="75">
        <v>46148.0</v>
      </c>
      <c r="B63" s="72" t="s">
        <v>150</v>
      </c>
      <c r="C63" s="72" t="s">
        <v>122</v>
      </c>
      <c r="D63" s="72" t="s">
        <v>201</v>
      </c>
      <c r="E63" s="73">
        <v>-14000.0</v>
      </c>
    </row>
    <row r="64" ht="15.75" hidden="1" customHeight="1">
      <c r="A64" s="75">
        <v>46148.0</v>
      </c>
      <c r="B64" s="72" t="s">
        <v>150</v>
      </c>
      <c r="C64" s="72" t="s">
        <v>122</v>
      </c>
      <c r="D64" s="72" t="s">
        <v>202</v>
      </c>
      <c r="E64" s="73">
        <v>-4700.0</v>
      </c>
    </row>
    <row r="65" ht="15.75" hidden="1" customHeight="1">
      <c r="A65" s="71">
        <v>46148.0</v>
      </c>
      <c r="B65" s="72" t="s">
        <v>150</v>
      </c>
      <c r="C65" s="72" t="s">
        <v>128</v>
      </c>
      <c r="D65" s="72" t="s">
        <v>203</v>
      </c>
      <c r="E65" s="73">
        <v>-4000.0</v>
      </c>
    </row>
    <row r="66" ht="15.75" hidden="1" customHeight="1">
      <c r="A66" s="75">
        <v>46149.0</v>
      </c>
      <c r="B66" s="72" t="s">
        <v>150</v>
      </c>
      <c r="C66" s="72" t="s">
        <v>119</v>
      </c>
      <c r="D66" s="72" t="s">
        <v>204</v>
      </c>
      <c r="E66" s="73">
        <v>-39900.0</v>
      </c>
    </row>
    <row r="67" ht="15.75" hidden="1" customHeight="1">
      <c r="A67" s="75">
        <v>46149.0</v>
      </c>
      <c r="B67" s="72" t="s">
        <v>150</v>
      </c>
      <c r="C67" s="72" t="s">
        <v>129</v>
      </c>
      <c r="D67" s="72" t="s">
        <v>205</v>
      </c>
      <c r="E67" s="73">
        <v>-102600.0</v>
      </c>
    </row>
    <row r="68" ht="15.75" hidden="1" customHeight="1">
      <c r="A68" s="75">
        <v>46149.0</v>
      </c>
      <c r="B68" s="72" t="s">
        <v>153</v>
      </c>
      <c r="C68" s="72" t="s">
        <v>9</v>
      </c>
      <c r="D68" s="72" t="s">
        <v>154</v>
      </c>
      <c r="E68" s="73">
        <v>60.0</v>
      </c>
    </row>
    <row r="69" ht="15.75" hidden="1" customHeight="1">
      <c r="A69" s="75">
        <v>46149.0</v>
      </c>
      <c r="B69" s="72" t="s">
        <v>150</v>
      </c>
      <c r="C69" s="72" t="s">
        <v>131</v>
      </c>
      <c r="D69" s="72" t="s">
        <v>206</v>
      </c>
      <c r="E69" s="73">
        <v>-12000.0</v>
      </c>
    </row>
    <row r="70" ht="15.75" hidden="1" customHeight="1">
      <c r="A70" s="75">
        <v>46149.0</v>
      </c>
      <c r="B70" s="72" t="s">
        <v>150</v>
      </c>
      <c r="C70" s="72" t="s">
        <v>126</v>
      </c>
      <c r="D70" s="72" t="s">
        <v>207</v>
      </c>
      <c r="E70" s="73">
        <v>-82850.0</v>
      </c>
      <c r="F70" s="76" t="s">
        <v>208</v>
      </c>
    </row>
    <row r="71" ht="15.75" hidden="1" customHeight="1">
      <c r="A71" s="75">
        <v>46149.0</v>
      </c>
      <c r="B71" s="72" t="s">
        <v>150</v>
      </c>
      <c r="C71" s="72" t="s">
        <v>113</v>
      </c>
      <c r="D71" s="72" t="s">
        <v>209</v>
      </c>
      <c r="E71" s="73">
        <v>-123770.0</v>
      </c>
    </row>
    <row r="72" ht="15.75" hidden="1" customHeight="1">
      <c r="A72" s="75">
        <v>46149.0</v>
      </c>
      <c r="B72" s="72" t="s">
        <v>150</v>
      </c>
      <c r="C72" s="72" t="s">
        <v>126</v>
      </c>
      <c r="D72" s="72" t="s">
        <v>207</v>
      </c>
      <c r="E72" s="73">
        <v>-8700.0</v>
      </c>
    </row>
    <row r="73" ht="15.75" hidden="1" customHeight="1">
      <c r="A73" s="75">
        <v>46149.0</v>
      </c>
      <c r="B73" s="72" t="s">
        <v>153</v>
      </c>
      <c r="C73" s="72" t="s">
        <v>210</v>
      </c>
      <c r="D73" s="72" t="s">
        <v>211</v>
      </c>
      <c r="E73" s="73">
        <v>290573.0</v>
      </c>
      <c r="F73" s="76" t="s">
        <v>212</v>
      </c>
    </row>
    <row r="74" ht="15.75" hidden="1" customHeight="1">
      <c r="A74" s="71">
        <v>46149.0</v>
      </c>
      <c r="B74" s="72" t="s">
        <v>150</v>
      </c>
      <c r="C74" s="72" t="s">
        <v>126</v>
      </c>
      <c r="D74" s="72" t="s">
        <v>213</v>
      </c>
      <c r="E74" s="73">
        <v>-3700.0</v>
      </c>
    </row>
    <row r="75" ht="15.75" hidden="1" customHeight="1">
      <c r="A75" s="71">
        <v>46149.0</v>
      </c>
      <c r="B75" s="72" t="s">
        <v>150</v>
      </c>
      <c r="C75" s="72" t="s">
        <v>126</v>
      </c>
      <c r="D75" s="72" t="s">
        <v>214</v>
      </c>
      <c r="E75" s="73">
        <v>-66900.0</v>
      </c>
      <c r="F75" s="76" t="s">
        <v>208</v>
      </c>
    </row>
    <row r="76" ht="15.75" hidden="1" customHeight="1">
      <c r="A76" s="71">
        <v>46150.0</v>
      </c>
      <c r="B76" s="72" t="s">
        <v>153</v>
      </c>
      <c r="C76" s="72" t="s">
        <v>9</v>
      </c>
      <c r="D76" s="72" t="s">
        <v>154</v>
      </c>
      <c r="E76" s="73">
        <v>10.0</v>
      </c>
    </row>
    <row r="77" ht="15.75" hidden="1" customHeight="1">
      <c r="A77" s="75">
        <v>46150.0</v>
      </c>
      <c r="B77" s="72" t="s">
        <v>150</v>
      </c>
      <c r="C77" s="72" t="s">
        <v>122</v>
      </c>
      <c r="D77" s="72" t="s">
        <v>215</v>
      </c>
      <c r="E77" s="73">
        <v>-24000.0</v>
      </c>
    </row>
    <row r="78" ht="15.75" hidden="1" customHeight="1">
      <c r="A78" s="71">
        <v>46150.0</v>
      </c>
      <c r="B78" s="72" t="s">
        <v>150</v>
      </c>
      <c r="C78" s="72" t="s">
        <v>122</v>
      </c>
      <c r="D78" s="72" t="s">
        <v>156</v>
      </c>
      <c r="E78" s="73">
        <v>-16860.0</v>
      </c>
    </row>
    <row r="79" ht="15.75" hidden="1" customHeight="1">
      <c r="A79" s="71">
        <v>46150.0</v>
      </c>
      <c r="B79" s="72" t="s">
        <v>166</v>
      </c>
      <c r="C79" s="72" t="s">
        <v>179</v>
      </c>
      <c r="D79" s="72" t="s">
        <v>216</v>
      </c>
      <c r="E79" s="73">
        <v>-30000.0</v>
      </c>
    </row>
    <row r="80" ht="15.75" hidden="1" customHeight="1">
      <c r="A80" s="71">
        <v>46150.0</v>
      </c>
      <c r="B80" s="72" t="s">
        <v>166</v>
      </c>
      <c r="C80" s="72" t="s">
        <v>179</v>
      </c>
      <c r="D80" s="72" t="s">
        <v>217</v>
      </c>
      <c r="E80" s="73">
        <v>30000.0</v>
      </c>
    </row>
    <row r="81" ht="15.75" hidden="1" customHeight="1">
      <c r="A81" s="71">
        <v>46150.0</v>
      </c>
      <c r="B81" s="72" t="s">
        <v>153</v>
      </c>
      <c r="C81" s="72" t="s">
        <v>9</v>
      </c>
      <c r="D81" s="72" t="s">
        <v>154</v>
      </c>
      <c r="E81" s="73">
        <v>10.0</v>
      </c>
    </row>
    <row r="82" ht="15.75" hidden="1" customHeight="1">
      <c r="A82" s="71">
        <v>46150.0</v>
      </c>
      <c r="B82" s="72" t="s">
        <v>150</v>
      </c>
      <c r="C82" s="72" t="s">
        <v>122</v>
      </c>
      <c r="D82" s="72" t="s">
        <v>218</v>
      </c>
      <c r="E82" s="73">
        <v>-11900.0</v>
      </c>
    </row>
    <row r="83" ht="15.75" hidden="1" customHeight="1">
      <c r="A83" s="75">
        <v>46150.0</v>
      </c>
      <c r="B83" s="72" t="s">
        <v>166</v>
      </c>
      <c r="C83" s="72" t="s">
        <v>166</v>
      </c>
      <c r="D83" s="72" t="s">
        <v>192</v>
      </c>
      <c r="E83" s="73">
        <v>-400000.0</v>
      </c>
    </row>
    <row r="84" ht="15.75" hidden="1" customHeight="1">
      <c r="A84" s="75">
        <v>46150.0</v>
      </c>
      <c r="B84" s="72" t="s">
        <v>153</v>
      </c>
      <c r="C84" s="72" t="s">
        <v>210</v>
      </c>
      <c r="D84" s="72" t="s">
        <v>211</v>
      </c>
      <c r="E84" s="73">
        <v>22326.0</v>
      </c>
      <c r="F84" s="76" t="s">
        <v>212</v>
      </c>
    </row>
    <row r="85" ht="15.75" hidden="1" customHeight="1">
      <c r="A85" s="71">
        <v>46150.0</v>
      </c>
      <c r="B85" s="72" t="s">
        <v>150</v>
      </c>
      <c r="C85" s="72" t="s">
        <v>122</v>
      </c>
      <c r="D85" s="72" t="s">
        <v>219</v>
      </c>
      <c r="E85" s="73">
        <v>-11830.0</v>
      </c>
    </row>
    <row r="86" ht="15.75" hidden="1" customHeight="1">
      <c r="A86" s="75">
        <v>46150.0</v>
      </c>
      <c r="B86" s="72" t="s">
        <v>153</v>
      </c>
      <c r="C86" s="72" t="s">
        <v>210</v>
      </c>
      <c r="D86" s="72" t="s">
        <v>220</v>
      </c>
      <c r="E86" s="73">
        <v>41143.0</v>
      </c>
      <c r="F86" s="76" t="s">
        <v>212</v>
      </c>
    </row>
    <row r="87" ht="15.75" hidden="1" customHeight="1">
      <c r="A87" s="75">
        <v>46150.0</v>
      </c>
      <c r="B87" s="72" t="s">
        <v>153</v>
      </c>
      <c r="C87" s="72" t="s">
        <v>9</v>
      </c>
      <c r="D87" s="72" t="s">
        <v>154</v>
      </c>
      <c r="E87" s="73">
        <v>18.0</v>
      </c>
    </row>
    <row r="88" ht="15.75" hidden="1" customHeight="1">
      <c r="A88" s="75">
        <v>46150.0</v>
      </c>
      <c r="B88" s="72" t="s">
        <v>150</v>
      </c>
      <c r="C88" s="72" t="s">
        <v>122</v>
      </c>
      <c r="D88" s="72" t="s">
        <v>221</v>
      </c>
      <c r="E88" s="73">
        <v>-3600.0</v>
      </c>
    </row>
    <row r="89" ht="15.75" hidden="1" customHeight="1">
      <c r="A89" s="75">
        <v>46150.0</v>
      </c>
      <c r="B89" s="72" t="s">
        <v>153</v>
      </c>
      <c r="C89" s="72" t="s">
        <v>9</v>
      </c>
      <c r="D89" s="72" t="s">
        <v>154</v>
      </c>
      <c r="E89" s="73">
        <v>10.0</v>
      </c>
    </row>
    <row r="90" ht="15.75" hidden="1" customHeight="1">
      <c r="A90" s="71">
        <v>46150.0</v>
      </c>
      <c r="B90" s="72" t="s">
        <v>150</v>
      </c>
      <c r="C90" s="72" t="s">
        <v>122</v>
      </c>
      <c r="D90" s="72" t="s">
        <v>222</v>
      </c>
      <c r="E90" s="73">
        <v>-1000.0</v>
      </c>
    </row>
    <row r="91" ht="15.75" hidden="1" customHeight="1">
      <c r="A91" s="71">
        <v>46150.0</v>
      </c>
      <c r="B91" s="72" t="s">
        <v>150</v>
      </c>
      <c r="C91" s="72" t="s">
        <v>122</v>
      </c>
      <c r="D91" s="72" t="s">
        <v>222</v>
      </c>
      <c r="E91" s="73">
        <v>-1000.0</v>
      </c>
    </row>
    <row r="92" ht="15.75" hidden="1" customHeight="1">
      <c r="A92" s="75">
        <v>46150.0</v>
      </c>
      <c r="B92" s="72" t="s">
        <v>150</v>
      </c>
      <c r="C92" s="72" t="s">
        <v>122</v>
      </c>
      <c r="D92" s="72" t="s">
        <v>222</v>
      </c>
      <c r="E92" s="73">
        <v>-1000.0</v>
      </c>
    </row>
    <row r="93" ht="15.75" hidden="1" customHeight="1">
      <c r="A93" s="71">
        <v>46151.0</v>
      </c>
      <c r="B93" s="72" t="s">
        <v>150</v>
      </c>
      <c r="C93" s="72" t="s">
        <v>122</v>
      </c>
      <c r="D93" s="72" t="s">
        <v>197</v>
      </c>
      <c r="E93" s="73">
        <v>-45810.0</v>
      </c>
    </row>
    <row r="94" ht="15.75" hidden="1" customHeight="1">
      <c r="A94" s="71">
        <v>46151.0</v>
      </c>
      <c r="B94" s="72" t="s">
        <v>150</v>
      </c>
      <c r="C94" s="72" t="s">
        <v>130</v>
      </c>
      <c r="D94" s="72" t="s">
        <v>168</v>
      </c>
      <c r="E94" s="73">
        <v>-10000.0</v>
      </c>
    </row>
    <row r="95" ht="15.75" hidden="1" customHeight="1">
      <c r="A95" s="71">
        <v>46151.0</v>
      </c>
      <c r="B95" s="72" t="s">
        <v>153</v>
      </c>
      <c r="C95" s="72" t="s">
        <v>9</v>
      </c>
      <c r="D95" s="72" t="s">
        <v>154</v>
      </c>
      <c r="E95" s="73">
        <v>229.0</v>
      </c>
    </row>
    <row r="96" ht="15.75" hidden="1" customHeight="1">
      <c r="A96" s="71">
        <v>46151.0</v>
      </c>
      <c r="B96" s="72" t="s">
        <v>150</v>
      </c>
      <c r="C96" s="72" t="s">
        <v>122</v>
      </c>
      <c r="D96" s="72" t="s">
        <v>223</v>
      </c>
      <c r="E96" s="73">
        <v>-29645.0</v>
      </c>
    </row>
    <row r="97" ht="15.75" hidden="1" customHeight="1">
      <c r="A97" s="71">
        <v>46151.0</v>
      </c>
      <c r="B97" s="72" t="s">
        <v>150</v>
      </c>
      <c r="C97" s="72" t="s">
        <v>124</v>
      </c>
      <c r="D97" s="72" t="s">
        <v>224</v>
      </c>
      <c r="E97" s="73">
        <v>-47300.0</v>
      </c>
    </row>
    <row r="98" ht="15.75" hidden="1" customHeight="1">
      <c r="A98" s="71">
        <v>46151.0</v>
      </c>
      <c r="B98" s="72" t="s">
        <v>153</v>
      </c>
      <c r="C98" s="72" t="s">
        <v>161</v>
      </c>
      <c r="D98" s="72" t="s">
        <v>180</v>
      </c>
      <c r="E98" s="73">
        <v>22.0</v>
      </c>
    </row>
    <row r="99" ht="15.75" hidden="1" customHeight="1">
      <c r="A99" s="71">
        <v>46151.0</v>
      </c>
      <c r="B99" s="72" t="s">
        <v>150</v>
      </c>
      <c r="C99" s="72" t="s">
        <v>122</v>
      </c>
      <c r="D99" s="72" t="s">
        <v>225</v>
      </c>
      <c r="E99" s="73">
        <v>-9970.0</v>
      </c>
    </row>
    <row r="100" ht="15.75" hidden="1" customHeight="1">
      <c r="A100" s="75">
        <v>46151.0</v>
      </c>
      <c r="B100" s="72" t="s">
        <v>150</v>
      </c>
      <c r="C100" s="72" t="s">
        <v>122</v>
      </c>
      <c r="D100" s="72" t="s">
        <v>226</v>
      </c>
      <c r="E100" s="73">
        <v>-8000.0</v>
      </c>
    </row>
    <row r="101" ht="15.75" hidden="1" customHeight="1">
      <c r="A101" s="75">
        <v>46151.0</v>
      </c>
      <c r="B101" s="72" t="s">
        <v>150</v>
      </c>
      <c r="C101" s="72" t="s">
        <v>128</v>
      </c>
      <c r="D101" s="72" t="s">
        <v>227</v>
      </c>
      <c r="E101" s="73">
        <v>-2500.0</v>
      </c>
    </row>
    <row r="102" ht="15.75" hidden="1" customHeight="1">
      <c r="A102" s="75">
        <v>46151.0</v>
      </c>
      <c r="B102" s="72" t="s">
        <v>150</v>
      </c>
      <c r="C102" s="72" t="s">
        <v>122</v>
      </c>
      <c r="D102" s="72" t="s">
        <v>228</v>
      </c>
      <c r="E102" s="73">
        <v>-1300.0</v>
      </c>
    </row>
    <row r="103" ht="15.75" hidden="1" customHeight="1">
      <c r="A103" s="71">
        <v>46152.0</v>
      </c>
      <c r="B103" s="72" t="s">
        <v>153</v>
      </c>
      <c r="C103" s="72" t="s">
        <v>9</v>
      </c>
      <c r="D103" s="72" t="s">
        <v>154</v>
      </c>
      <c r="E103" s="73">
        <v>329.0</v>
      </c>
    </row>
    <row r="104" ht="15.75" hidden="1" customHeight="1">
      <c r="A104" s="71">
        <v>46152.0</v>
      </c>
      <c r="B104" s="72" t="s">
        <v>150</v>
      </c>
      <c r="C104" s="72" t="s">
        <v>130</v>
      </c>
      <c r="D104" s="72" t="s">
        <v>229</v>
      </c>
      <c r="E104" s="73">
        <v>-32900.0</v>
      </c>
    </row>
    <row r="105" ht="15.75" hidden="1" customHeight="1">
      <c r="A105" s="71">
        <v>46152.0</v>
      </c>
      <c r="B105" s="72" t="s">
        <v>150</v>
      </c>
      <c r="C105" s="72" t="s">
        <v>130</v>
      </c>
      <c r="D105" s="72" t="s">
        <v>168</v>
      </c>
      <c r="E105" s="73">
        <v>-10000.0</v>
      </c>
    </row>
    <row r="106" ht="15.75" hidden="1" customHeight="1">
      <c r="A106" s="71">
        <v>46152.0</v>
      </c>
      <c r="B106" s="72" t="s">
        <v>153</v>
      </c>
      <c r="C106" s="72" t="s">
        <v>9</v>
      </c>
      <c r="D106" s="72" t="s">
        <v>154</v>
      </c>
      <c r="E106" s="73">
        <v>10.0</v>
      </c>
    </row>
    <row r="107" ht="15.75" hidden="1" customHeight="1">
      <c r="A107" s="71">
        <v>46152.0</v>
      </c>
      <c r="B107" s="72" t="s">
        <v>150</v>
      </c>
      <c r="C107" s="72" t="s">
        <v>122</v>
      </c>
      <c r="D107" s="72" t="s">
        <v>156</v>
      </c>
      <c r="E107" s="73">
        <v>-8900.0</v>
      </c>
    </row>
    <row r="108" ht="15.75" hidden="1" customHeight="1">
      <c r="A108" s="75">
        <v>46152.0</v>
      </c>
      <c r="B108" s="72" t="s">
        <v>153</v>
      </c>
      <c r="C108" s="72" t="s">
        <v>9</v>
      </c>
      <c r="D108" s="72" t="s">
        <v>154</v>
      </c>
      <c r="E108" s="73">
        <v>10.0</v>
      </c>
    </row>
    <row r="109" ht="15.75" hidden="1" customHeight="1">
      <c r="A109" s="71">
        <v>46152.0</v>
      </c>
      <c r="B109" s="72" t="s">
        <v>150</v>
      </c>
      <c r="C109" s="72" t="s">
        <v>122</v>
      </c>
      <c r="D109" s="72" t="s">
        <v>222</v>
      </c>
      <c r="E109" s="73">
        <v>-1000.0</v>
      </c>
    </row>
    <row r="110" ht="15.75" hidden="1" customHeight="1">
      <c r="A110" s="75">
        <v>46152.0</v>
      </c>
      <c r="B110" s="72" t="s">
        <v>150</v>
      </c>
      <c r="C110" s="72" t="s">
        <v>122</v>
      </c>
      <c r="D110" s="72" t="s">
        <v>222</v>
      </c>
      <c r="E110" s="73">
        <v>-1000.0</v>
      </c>
    </row>
    <row r="111" ht="15.75" hidden="1" customHeight="1">
      <c r="A111" s="71">
        <v>46153.0</v>
      </c>
      <c r="B111" s="72" t="s">
        <v>153</v>
      </c>
      <c r="C111" s="72" t="s">
        <v>9</v>
      </c>
      <c r="D111" s="72" t="s">
        <v>154</v>
      </c>
      <c r="E111" s="73">
        <v>21.0</v>
      </c>
    </row>
    <row r="112" ht="15.75" hidden="1" customHeight="1">
      <c r="A112" s="71">
        <v>46153.0</v>
      </c>
      <c r="B112" s="72" t="s">
        <v>150</v>
      </c>
      <c r="C112" s="72" t="s">
        <v>130</v>
      </c>
      <c r="D112" s="72" t="s">
        <v>230</v>
      </c>
      <c r="E112" s="73">
        <v>-2100.0</v>
      </c>
    </row>
    <row r="113" ht="15.75" hidden="1" customHeight="1">
      <c r="A113" s="71">
        <v>46153.0</v>
      </c>
      <c r="B113" s="72" t="s">
        <v>153</v>
      </c>
      <c r="C113" s="72" t="s">
        <v>9</v>
      </c>
      <c r="D113" s="72" t="s">
        <v>154</v>
      </c>
      <c r="E113" s="73">
        <v>70.0</v>
      </c>
    </row>
    <row r="114" ht="15.75" hidden="1" customHeight="1">
      <c r="A114" s="71">
        <v>46153.0</v>
      </c>
      <c r="B114" s="72" t="s">
        <v>150</v>
      </c>
      <c r="C114" s="72" t="s">
        <v>128</v>
      </c>
      <c r="D114" s="72" t="s">
        <v>231</v>
      </c>
      <c r="E114" s="73">
        <v>-14000.0</v>
      </c>
    </row>
    <row r="115" ht="15.75" hidden="1" customHeight="1">
      <c r="A115" s="71">
        <v>46153.0</v>
      </c>
      <c r="B115" s="72" t="s">
        <v>150</v>
      </c>
      <c r="C115" s="72" t="s">
        <v>117</v>
      </c>
      <c r="D115" s="72" t="s">
        <v>232</v>
      </c>
      <c r="E115" s="73">
        <v>-9900.0</v>
      </c>
    </row>
    <row r="116" ht="15.75" hidden="1" customHeight="1">
      <c r="A116" s="71">
        <v>46153.0</v>
      </c>
      <c r="B116" s="72" t="s">
        <v>166</v>
      </c>
      <c r="C116" s="72" t="s">
        <v>173</v>
      </c>
      <c r="D116" s="72" t="s">
        <v>233</v>
      </c>
      <c r="E116" s="73">
        <v>564.0</v>
      </c>
    </row>
    <row r="117" ht="15.75" hidden="1" customHeight="1">
      <c r="A117" s="71">
        <v>46153.0</v>
      </c>
      <c r="B117" s="72" t="s">
        <v>166</v>
      </c>
      <c r="C117" s="72" t="s">
        <v>179</v>
      </c>
      <c r="D117" s="72" t="s">
        <v>186</v>
      </c>
      <c r="E117" s="73">
        <v>10000.0</v>
      </c>
    </row>
    <row r="118" ht="15.75" hidden="1" customHeight="1">
      <c r="A118" s="71">
        <v>46153.0</v>
      </c>
      <c r="B118" s="72" t="s">
        <v>150</v>
      </c>
      <c r="C118" s="72" t="s">
        <v>111</v>
      </c>
      <c r="D118" s="72" t="s">
        <v>234</v>
      </c>
      <c r="E118" s="73">
        <v>-10737.0</v>
      </c>
    </row>
    <row r="119" ht="15.75" customHeight="1">
      <c r="A119" s="71">
        <v>46153.0</v>
      </c>
      <c r="B119" s="72" t="s">
        <v>150</v>
      </c>
      <c r="C119" s="72" t="s">
        <v>114</v>
      </c>
      <c r="D119" s="72" t="s">
        <v>235</v>
      </c>
      <c r="E119" s="73">
        <v>-46330.0</v>
      </c>
    </row>
    <row r="120" ht="15.75" customHeight="1">
      <c r="A120" s="71">
        <v>46153.0</v>
      </c>
      <c r="B120" s="72" t="s">
        <v>150</v>
      </c>
      <c r="C120" s="72" t="s">
        <v>114</v>
      </c>
      <c r="D120" s="72" t="s">
        <v>235</v>
      </c>
      <c r="E120" s="73">
        <v>-34200.0</v>
      </c>
    </row>
    <row r="121" ht="15.75" hidden="1" customHeight="1">
      <c r="A121" s="75">
        <v>46153.0</v>
      </c>
      <c r="B121" s="72" t="s">
        <v>150</v>
      </c>
      <c r="C121" s="72" t="s">
        <v>122</v>
      </c>
      <c r="D121" s="72" t="s">
        <v>236</v>
      </c>
      <c r="E121" s="73">
        <v>-20000.0</v>
      </c>
    </row>
    <row r="122" ht="15.75" hidden="1" customHeight="1">
      <c r="A122" s="75">
        <v>46153.0</v>
      </c>
      <c r="B122" s="72" t="s">
        <v>150</v>
      </c>
      <c r="C122" s="72" t="s">
        <v>128</v>
      </c>
      <c r="D122" s="72" t="s">
        <v>237</v>
      </c>
      <c r="E122" s="73">
        <v>-4000.0</v>
      </c>
    </row>
    <row r="123" ht="15.75" hidden="1" customHeight="1">
      <c r="A123" s="71">
        <v>46153.0</v>
      </c>
      <c r="B123" s="72" t="s">
        <v>150</v>
      </c>
      <c r="C123" s="72" t="s">
        <v>122</v>
      </c>
      <c r="D123" s="72" t="s">
        <v>158</v>
      </c>
      <c r="E123" s="73">
        <v>-17660.0</v>
      </c>
    </row>
    <row r="124" ht="15.75" hidden="1" customHeight="1">
      <c r="A124" s="75">
        <v>46153.0</v>
      </c>
      <c r="B124" s="72" t="s">
        <v>150</v>
      </c>
      <c r="C124" s="72" t="s">
        <v>119</v>
      </c>
      <c r="D124" s="72" t="s">
        <v>238</v>
      </c>
      <c r="E124" s="73">
        <v>-4300.0</v>
      </c>
    </row>
    <row r="125" ht="15.75" hidden="1" customHeight="1">
      <c r="A125" s="71">
        <v>46153.0</v>
      </c>
      <c r="B125" s="72" t="s">
        <v>150</v>
      </c>
      <c r="C125" s="72" t="s">
        <v>122</v>
      </c>
      <c r="D125" s="72" t="s">
        <v>219</v>
      </c>
      <c r="E125" s="73">
        <v>-13960.0</v>
      </c>
    </row>
    <row r="126" ht="15.75" hidden="1" customHeight="1">
      <c r="A126" s="75">
        <v>46153.0</v>
      </c>
      <c r="B126" s="72" t="s">
        <v>150</v>
      </c>
      <c r="C126" s="72" t="s">
        <v>122</v>
      </c>
      <c r="D126" s="72" t="s">
        <v>239</v>
      </c>
      <c r="E126" s="73">
        <v>-9960.0</v>
      </c>
    </row>
    <row r="127" ht="15.75" hidden="1" customHeight="1">
      <c r="A127" s="71">
        <v>46153.0</v>
      </c>
      <c r="B127" s="72" t="s">
        <v>150</v>
      </c>
      <c r="C127" s="72" t="s">
        <v>122</v>
      </c>
      <c r="D127" s="72" t="s">
        <v>156</v>
      </c>
      <c r="E127" s="73">
        <v>-6500.0</v>
      </c>
    </row>
    <row r="128" ht="15.75" hidden="1" customHeight="1">
      <c r="A128" s="71">
        <v>46154.0</v>
      </c>
      <c r="B128" s="72" t="s">
        <v>150</v>
      </c>
      <c r="C128" s="72" t="s">
        <v>128</v>
      </c>
      <c r="D128" s="72" t="s">
        <v>151</v>
      </c>
      <c r="E128" s="73">
        <v>-18390.0</v>
      </c>
    </row>
    <row r="129" ht="15.75" hidden="1" customHeight="1">
      <c r="A129" s="71">
        <v>46154.0</v>
      </c>
      <c r="B129" s="72" t="s">
        <v>150</v>
      </c>
      <c r="C129" s="72" t="s">
        <v>130</v>
      </c>
      <c r="D129" s="72" t="s">
        <v>240</v>
      </c>
      <c r="E129" s="73">
        <v>-65000.0</v>
      </c>
    </row>
    <row r="130" ht="15.75" hidden="1" customHeight="1">
      <c r="A130" s="71">
        <v>46154.0</v>
      </c>
      <c r="B130" s="72" t="s">
        <v>166</v>
      </c>
      <c r="C130" s="72" t="s">
        <v>179</v>
      </c>
      <c r="D130" s="72" t="s">
        <v>186</v>
      </c>
      <c r="E130" s="73">
        <v>500000.0</v>
      </c>
    </row>
    <row r="131" ht="15.75" hidden="1" customHeight="1">
      <c r="A131" s="71">
        <v>46154.0</v>
      </c>
      <c r="B131" s="72" t="s">
        <v>153</v>
      </c>
      <c r="C131" s="72" t="s">
        <v>9</v>
      </c>
      <c r="D131" s="72" t="s">
        <v>154</v>
      </c>
      <c r="E131" s="73">
        <v>21.0</v>
      </c>
    </row>
    <row r="132" ht="15.75" hidden="1" customHeight="1">
      <c r="A132" s="71">
        <v>46154.0</v>
      </c>
      <c r="B132" s="72" t="s">
        <v>150</v>
      </c>
      <c r="C132" s="72" t="s">
        <v>130</v>
      </c>
      <c r="D132" s="72" t="s">
        <v>230</v>
      </c>
      <c r="E132" s="73">
        <v>-2100.0</v>
      </c>
    </row>
    <row r="133" ht="15.75" hidden="1" customHeight="1">
      <c r="A133" s="71">
        <v>46154.0</v>
      </c>
      <c r="B133" s="72" t="s">
        <v>150</v>
      </c>
      <c r="C133" s="72" t="s">
        <v>117</v>
      </c>
      <c r="D133" s="72" t="s">
        <v>151</v>
      </c>
      <c r="E133" s="73">
        <v>-7890.0</v>
      </c>
    </row>
    <row r="134" ht="15.75" hidden="1" customHeight="1">
      <c r="A134" s="75">
        <v>46154.0</v>
      </c>
      <c r="B134" s="72" t="s">
        <v>150</v>
      </c>
      <c r="C134" s="72" t="s">
        <v>124</v>
      </c>
      <c r="D134" s="72" t="s">
        <v>241</v>
      </c>
      <c r="E134" s="73">
        <v>-129480.0</v>
      </c>
    </row>
    <row r="135" ht="15.75" hidden="1" customHeight="1">
      <c r="A135" s="75">
        <v>46154.0</v>
      </c>
      <c r="B135" s="72" t="s">
        <v>153</v>
      </c>
      <c r="C135" s="72" t="s">
        <v>9</v>
      </c>
      <c r="D135" s="72" t="s">
        <v>154</v>
      </c>
      <c r="E135" s="73">
        <v>16.0</v>
      </c>
    </row>
    <row r="136" ht="15.75" hidden="1" customHeight="1">
      <c r="A136" s="75">
        <v>46154.0</v>
      </c>
      <c r="B136" s="72" t="s">
        <v>150</v>
      </c>
      <c r="C136" s="72" t="s">
        <v>122</v>
      </c>
      <c r="D136" s="72" t="s">
        <v>242</v>
      </c>
      <c r="E136" s="73">
        <v>-3200.0</v>
      </c>
    </row>
    <row r="137" ht="15.75" hidden="1" customHeight="1">
      <c r="A137" s="71">
        <v>46155.0</v>
      </c>
      <c r="B137" s="72" t="s">
        <v>166</v>
      </c>
      <c r="C137" s="72" t="s">
        <v>243</v>
      </c>
      <c r="D137" s="72" t="s">
        <v>244</v>
      </c>
      <c r="E137" s="73">
        <v>-473270.0</v>
      </c>
    </row>
    <row r="138" ht="15.75" hidden="1" customHeight="1">
      <c r="A138" s="71">
        <v>46155.0</v>
      </c>
      <c r="B138" s="72" t="s">
        <v>166</v>
      </c>
      <c r="C138" s="72" t="s">
        <v>243</v>
      </c>
      <c r="D138" s="72" t="s">
        <v>245</v>
      </c>
      <c r="E138" s="73">
        <v>-1850.0</v>
      </c>
    </row>
    <row r="139" ht="15.75" hidden="1" customHeight="1">
      <c r="A139" s="71">
        <v>46155.0</v>
      </c>
      <c r="B139" s="72" t="s">
        <v>150</v>
      </c>
      <c r="C139" s="72" t="s">
        <v>126</v>
      </c>
      <c r="D139" s="72" t="s">
        <v>213</v>
      </c>
      <c r="E139" s="73">
        <v>-3800.0</v>
      </c>
    </row>
    <row r="140" ht="15.75" hidden="1" customHeight="1">
      <c r="A140" s="71">
        <v>46155.0</v>
      </c>
      <c r="B140" s="72" t="s">
        <v>150</v>
      </c>
      <c r="C140" s="72" t="s">
        <v>126</v>
      </c>
      <c r="D140" s="72" t="s">
        <v>214</v>
      </c>
      <c r="E140" s="73">
        <v>-2900.0</v>
      </c>
    </row>
    <row r="141" ht="15.75" hidden="1" customHeight="1">
      <c r="A141" s="71">
        <v>46155.0</v>
      </c>
      <c r="B141" s="72" t="s">
        <v>150</v>
      </c>
      <c r="C141" s="72" t="s">
        <v>122</v>
      </c>
      <c r="D141" s="72" t="s">
        <v>151</v>
      </c>
      <c r="E141" s="73">
        <v>-35900.0</v>
      </c>
    </row>
    <row r="142" ht="15.75" hidden="1" customHeight="1">
      <c r="A142" s="71">
        <v>46155.0</v>
      </c>
      <c r="B142" s="72" t="s">
        <v>150</v>
      </c>
      <c r="C142" s="72" t="s">
        <v>129</v>
      </c>
      <c r="D142" s="72" t="s">
        <v>246</v>
      </c>
      <c r="E142" s="73">
        <v>-39000.0</v>
      </c>
    </row>
    <row r="143" ht="15.75" hidden="1" customHeight="1">
      <c r="A143" s="71">
        <v>46155.0</v>
      </c>
      <c r="B143" s="72" t="s">
        <v>153</v>
      </c>
      <c r="C143" s="72" t="s">
        <v>9</v>
      </c>
      <c r="D143" s="72" t="s">
        <v>154</v>
      </c>
      <c r="E143" s="73">
        <v>21.0</v>
      </c>
    </row>
    <row r="144" ht="15.75" hidden="1" customHeight="1">
      <c r="A144" s="71">
        <v>46155.0</v>
      </c>
      <c r="B144" s="72" t="s">
        <v>150</v>
      </c>
      <c r="C144" s="72" t="s">
        <v>130</v>
      </c>
      <c r="D144" s="72" t="s">
        <v>230</v>
      </c>
      <c r="E144" s="73">
        <v>-2100.0</v>
      </c>
    </row>
    <row r="145" ht="15.75" hidden="1" customHeight="1">
      <c r="A145" s="75">
        <v>46155.0</v>
      </c>
      <c r="B145" s="72" t="s">
        <v>150</v>
      </c>
      <c r="C145" s="72" t="s">
        <v>131</v>
      </c>
      <c r="D145" s="72" t="s">
        <v>247</v>
      </c>
      <c r="E145" s="73">
        <v>-20000.0</v>
      </c>
    </row>
    <row r="146" ht="15.75" hidden="1" customHeight="1">
      <c r="A146" s="75">
        <v>46155.0</v>
      </c>
      <c r="B146" s="72" t="s">
        <v>166</v>
      </c>
      <c r="C146" s="72" t="s">
        <v>179</v>
      </c>
      <c r="D146" s="72" t="s">
        <v>248</v>
      </c>
      <c r="E146" s="73">
        <v>20000.0</v>
      </c>
    </row>
    <row r="147" ht="15.75" hidden="1" customHeight="1">
      <c r="A147" s="75">
        <v>46155.0</v>
      </c>
      <c r="B147" s="72" t="s">
        <v>166</v>
      </c>
      <c r="C147" s="72" t="s">
        <v>179</v>
      </c>
      <c r="D147" s="72" t="s">
        <v>248</v>
      </c>
      <c r="E147" s="73">
        <v>-20000.0</v>
      </c>
    </row>
    <row r="148" ht="15.75" hidden="1" customHeight="1">
      <c r="A148" s="75">
        <v>46155.0</v>
      </c>
      <c r="B148" s="72" t="s">
        <v>153</v>
      </c>
      <c r="C148" s="72" t="s">
        <v>9</v>
      </c>
      <c r="D148" s="72" t="s">
        <v>154</v>
      </c>
      <c r="E148" s="73">
        <v>109.0</v>
      </c>
    </row>
    <row r="149" ht="15.75" hidden="1" customHeight="1">
      <c r="A149" s="75">
        <v>46155.0</v>
      </c>
      <c r="B149" s="72" t="s">
        <v>150</v>
      </c>
      <c r="C149" s="72" t="s">
        <v>122</v>
      </c>
      <c r="D149" s="72" t="s">
        <v>249</v>
      </c>
      <c r="E149" s="73">
        <v>-21850.0</v>
      </c>
    </row>
    <row r="150" ht="15.75" hidden="1" customHeight="1">
      <c r="A150" s="75">
        <v>46155.0</v>
      </c>
      <c r="B150" s="72" t="s">
        <v>153</v>
      </c>
      <c r="C150" s="72" t="s">
        <v>9</v>
      </c>
      <c r="D150" s="72" t="s">
        <v>154</v>
      </c>
      <c r="E150" s="73">
        <v>75.0</v>
      </c>
    </row>
    <row r="151" ht="15.75" hidden="1" customHeight="1">
      <c r="A151" s="75">
        <v>46155.0</v>
      </c>
      <c r="B151" s="72" t="s">
        <v>150</v>
      </c>
      <c r="C151" s="72" t="s">
        <v>122</v>
      </c>
      <c r="D151" s="72" t="s">
        <v>201</v>
      </c>
      <c r="E151" s="73">
        <v>-15000.0</v>
      </c>
    </row>
    <row r="152" ht="15.75" hidden="1" customHeight="1">
      <c r="A152" s="71">
        <v>46155.0</v>
      </c>
      <c r="B152" s="72" t="s">
        <v>150</v>
      </c>
      <c r="C152" s="72" t="s">
        <v>122</v>
      </c>
      <c r="D152" s="72" t="s">
        <v>156</v>
      </c>
      <c r="E152" s="73">
        <v>-2480.0</v>
      </c>
    </row>
    <row r="153" ht="15.75" hidden="1" customHeight="1">
      <c r="A153" s="71">
        <v>46156.0</v>
      </c>
      <c r="B153" s="72" t="s">
        <v>150</v>
      </c>
      <c r="C153" s="72" t="s">
        <v>122</v>
      </c>
      <c r="D153" s="72" t="s">
        <v>223</v>
      </c>
      <c r="E153" s="73">
        <v>-30000.0</v>
      </c>
    </row>
    <row r="154" ht="15.75" hidden="1" customHeight="1">
      <c r="A154" s="71">
        <v>46156.0</v>
      </c>
      <c r="B154" s="72" t="s">
        <v>153</v>
      </c>
      <c r="C154" s="72" t="s">
        <v>9</v>
      </c>
      <c r="D154" s="72" t="s">
        <v>154</v>
      </c>
      <c r="E154" s="73">
        <v>7.0</v>
      </c>
    </row>
    <row r="155" ht="15.75" hidden="1" customHeight="1">
      <c r="A155" s="71">
        <v>46156.0</v>
      </c>
      <c r="B155" s="72" t="s">
        <v>150</v>
      </c>
      <c r="C155" s="72" t="s">
        <v>130</v>
      </c>
      <c r="D155" s="72" t="s">
        <v>250</v>
      </c>
      <c r="E155" s="73">
        <v>-1500.0</v>
      </c>
    </row>
    <row r="156" ht="15.75" hidden="1" customHeight="1">
      <c r="A156" s="71">
        <v>46156.0</v>
      </c>
      <c r="B156" s="72" t="s">
        <v>150</v>
      </c>
      <c r="C156" s="72" t="s">
        <v>124</v>
      </c>
      <c r="D156" s="72" t="s">
        <v>151</v>
      </c>
      <c r="E156" s="73">
        <v>-7400.0</v>
      </c>
    </row>
    <row r="157" ht="15.75" hidden="1" customHeight="1">
      <c r="A157" s="71">
        <v>46156.0</v>
      </c>
      <c r="B157" s="72" t="s">
        <v>153</v>
      </c>
      <c r="C157" s="72" t="s">
        <v>9</v>
      </c>
      <c r="D157" s="72" t="s">
        <v>154</v>
      </c>
      <c r="E157" s="73">
        <v>21.0</v>
      </c>
    </row>
    <row r="158" ht="15.75" hidden="1" customHeight="1">
      <c r="A158" s="71">
        <v>46156.0</v>
      </c>
      <c r="B158" s="72" t="s">
        <v>150</v>
      </c>
      <c r="C158" s="72" t="s">
        <v>130</v>
      </c>
      <c r="D158" s="72" t="s">
        <v>230</v>
      </c>
      <c r="E158" s="73">
        <v>-2100.0</v>
      </c>
    </row>
    <row r="159" ht="15.75" hidden="1" customHeight="1">
      <c r="A159" s="71">
        <v>46156.0</v>
      </c>
      <c r="B159" s="72" t="s">
        <v>150</v>
      </c>
      <c r="C159" s="72" t="s">
        <v>117</v>
      </c>
      <c r="D159" s="72" t="s">
        <v>251</v>
      </c>
      <c r="E159" s="73">
        <v>-29000.0</v>
      </c>
    </row>
    <row r="160" ht="15.75" hidden="1" customHeight="1">
      <c r="A160" s="75">
        <v>46156.0</v>
      </c>
      <c r="B160" s="72" t="s">
        <v>166</v>
      </c>
      <c r="C160" s="72" t="s">
        <v>166</v>
      </c>
      <c r="D160" s="72" t="s">
        <v>186</v>
      </c>
      <c r="E160" s="73">
        <v>-109558.0</v>
      </c>
    </row>
    <row r="161" ht="15.75" hidden="1" customHeight="1">
      <c r="A161" s="75">
        <v>46156.0</v>
      </c>
      <c r="B161" s="72" t="s">
        <v>153</v>
      </c>
      <c r="C161" s="72" t="s">
        <v>210</v>
      </c>
      <c r="D161" s="72" t="s">
        <v>211</v>
      </c>
      <c r="E161" s="73">
        <v>43233.0</v>
      </c>
      <c r="F161" s="76" t="s">
        <v>212</v>
      </c>
    </row>
    <row r="162" ht="15.75" hidden="1" customHeight="1">
      <c r="A162" s="71">
        <v>46157.0</v>
      </c>
      <c r="B162" s="72" t="s">
        <v>153</v>
      </c>
      <c r="C162" s="72" t="s">
        <v>9</v>
      </c>
      <c r="D162" s="72" t="s">
        <v>154</v>
      </c>
      <c r="E162" s="73">
        <v>35.0</v>
      </c>
    </row>
    <row r="163" ht="15.75" hidden="1" customHeight="1">
      <c r="A163" s="71">
        <v>46157.0</v>
      </c>
      <c r="B163" s="72" t="s">
        <v>150</v>
      </c>
      <c r="C163" s="72" t="s">
        <v>122</v>
      </c>
      <c r="D163" s="72" t="s">
        <v>252</v>
      </c>
      <c r="E163" s="73">
        <v>-7100.0</v>
      </c>
    </row>
    <row r="164" ht="15.75" hidden="1" customHeight="1">
      <c r="A164" s="71">
        <v>46157.0</v>
      </c>
      <c r="B164" s="72" t="s">
        <v>166</v>
      </c>
      <c r="C164" s="72" t="s">
        <v>179</v>
      </c>
      <c r="D164" s="72" t="s">
        <v>186</v>
      </c>
      <c r="E164" s="73">
        <v>-41258.0</v>
      </c>
    </row>
    <row r="165" ht="15.75" hidden="1" customHeight="1">
      <c r="A165" s="75">
        <v>46157.0</v>
      </c>
      <c r="B165" s="72" t="s">
        <v>166</v>
      </c>
      <c r="C165" s="72" t="s">
        <v>179</v>
      </c>
      <c r="D165" s="72" t="s">
        <v>186</v>
      </c>
      <c r="E165" s="73">
        <v>-5190.0</v>
      </c>
    </row>
    <row r="166" ht="15.75" hidden="1" customHeight="1">
      <c r="A166" s="75">
        <v>46157.0</v>
      </c>
      <c r="B166" s="72" t="s">
        <v>166</v>
      </c>
      <c r="C166" s="72" t="s">
        <v>179</v>
      </c>
      <c r="D166" s="72" t="s">
        <v>186</v>
      </c>
      <c r="E166" s="73">
        <v>-1621511.0</v>
      </c>
    </row>
    <row r="167" ht="15.75" hidden="1" customHeight="1">
      <c r="A167" s="75">
        <v>46157.0</v>
      </c>
      <c r="B167" s="72" t="s">
        <v>153</v>
      </c>
      <c r="C167" s="72" t="s">
        <v>3</v>
      </c>
      <c r="D167" s="72" t="s">
        <v>253</v>
      </c>
      <c r="E167" s="73">
        <v>1621511.0</v>
      </c>
    </row>
    <row r="168" ht="15.75" hidden="1" customHeight="1">
      <c r="A168" s="71">
        <v>46157.0</v>
      </c>
      <c r="B168" s="72" t="s">
        <v>166</v>
      </c>
      <c r="C168" s="72" t="s">
        <v>179</v>
      </c>
      <c r="D168" s="72" t="s">
        <v>186</v>
      </c>
      <c r="E168" s="73">
        <v>-1030478.0</v>
      </c>
    </row>
    <row r="169" ht="15.75" hidden="1" customHeight="1">
      <c r="A169" s="71">
        <v>46157.0</v>
      </c>
      <c r="B169" s="72" t="s">
        <v>166</v>
      </c>
      <c r="C169" s="72" t="s">
        <v>179</v>
      </c>
      <c r="D169" s="72" t="s">
        <v>254</v>
      </c>
      <c r="E169" s="73">
        <v>1030478.0</v>
      </c>
    </row>
    <row r="170" ht="15.75" hidden="1" customHeight="1">
      <c r="A170" s="71">
        <v>46157.0</v>
      </c>
      <c r="B170" s="72" t="s">
        <v>150</v>
      </c>
      <c r="C170" s="72" t="s">
        <v>124</v>
      </c>
      <c r="D170" s="72" t="s">
        <v>255</v>
      </c>
      <c r="E170" s="73">
        <v>-7917.0</v>
      </c>
    </row>
    <row r="171" ht="15.75" hidden="1" customHeight="1">
      <c r="A171" s="71">
        <v>46157.0</v>
      </c>
      <c r="B171" s="72" t="s">
        <v>150</v>
      </c>
      <c r="C171" s="72" t="s">
        <v>124</v>
      </c>
      <c r="D171" s="72" t="s">
        <v>255</v>
      </c>
      <c r="E171" s="73">
        <v>-44033.0</v>
      </c>
    </row>
    <row r="172" ht="15.75" hidden="1" customHeight="1">
      <c r="A172" s="71">
        <v>46157.0</v>
      </c>
      <c r="B172" s="72" t="s">
        <v>150</v>
      </c>
      <c r="C172" s="72" t="s">
        <v>119</v>
      </c>
      <c r="D172" s="72" t="s">
        <v>256</v>
      </c>
      <c r="E172" s="73">
        <v>-9975.0</v>
      </c>
    </row>
    <row r="173" ht="15.75" hidden="1" customHeight="1">
      <c r="A173" s="71">
        <v>46157.0</v>
      </c>
      <c r="B173" s="72" t="s">
        <v>150</v>
      </c>
      <c r="C173" s="72" t="s">
        <v>119</v>
      </c>
      <c r="D173" s="72" t="s">
        <v>256</v>
      </c>
      <c r="E173" s="73">
        <v>-10000.0</v>
      </c>
    </row>
    <row r="174" ht="15.75" hidden="1" customHeight="1">
      <c r="A174" s="71">
        <v>46157.0</v>
      </c>
      <c r="B174" s="72" t="s">
        <v>153</v>
      </c>
      <c r="C174" s="72" t="s">
        <v>9</v>
      </c>
      <c r="D174" s="72" t="s">
        <v>154</v>
      </c>
      <c r="E174" s="73">
        <v>26.0</v>
      </c>
    </row>
    <row r="175" ht="15.75" hidden="1" customHeight="1">
      <c r="A175" s="71">
        <v>46157.0</v>
      </c>
      <c r="B175" s="72" t="s">
        <v>150</v>
      </c>
      <c r="C175" s="72" t="s">
        <v>128</v>
      </c>
      <c r="D175" s="72" t="s">
        <v>257</v>
      </c>
      <c r="E175" s="73">
        <v>-2600.0</v>
      </c>
    </row>
    <row r="176" ht="15.75" hidden="1" customHeight="1">
      <c r="A176" s="71">
        <v>46158.0</v>
      </c>
      <c r="B176" s="72" t="s">
        <v>150</v>
      </c>
      <c r="C176" s="72" t="s">
        <v>124</v>
      </c>
      <c r="D176" s="72" t="s">
        <v>258</v>
      </c>
      <c r="E176" s="73">
        <v>-13930.0</v>
      </c>
    </row>
    <row r="177" ht="15.75" hidden="1" customHeight="1">
      <c r="A177" s="71">
        <v>46158.0</v>
      </c>
      <c r="B177" s="72" t="s">
        <v>166</v>
      </c>
      <c r="C177" s="72" t="s">
        <v>179</v>
      </c>
      <c r="D177" s="72" t="s">
        <v>186</v>
      </c>
      <c r="E177" s="73">
        <v>7100.0</v>
      </c>
    </row>
    <row r="178" ht="15.75" hidden="1" customHeight="1">
      <c r="A178" s="75">
        <v>46158.0</v>
      </c>
      <c r="B178" s="72" t="s">
        <v>153</v>
      </c>
      <c r="C178" s="72" t="s">
        <v>9</v>
      </c>
      <c r="D178" s="72" t="s">
        <v>154</v>
      </c>
      <c r="E178" s="73">
        <v>175.0</v>
      </c>
    </row>
    <row r="179" ht="15.75" hidden="1" customHeight="1">
      <c r="A179" s="75">
        <v>46158.0</v>
      </c>
      <c r="B179" s="72" t="s">
        <v>150</v>
      </c>
      <c r="C179" s="72" t="s">
        <v>128</v>
      </c>
      <c r="D179" s="72" t="s">
        <v>259</v>
      </c>
      <c r="E179" s="73">
        <v>-17500.0</v>
      </c>
    </row>
    <row r="180" ht="15.75" hidden="1" customHeight="1">
      <c r="A180" s="75">
        <v>46158.0</v>
      </c>
      <c r="B180" s="72" t="s">
        <v>150</v>
      </c>
      <c r="C180" s="72" t="s">
        <v>124</v>
      </c>
      <c r="D180" s="72" t="s">
        <v>260</v>
      </c>
      <c r="E180" s="73">
        <v>13930.0</v>
      </c>
    </row>
    <row r="181" ht="15.75" hidden="1" customHeight="1">
      <c r="A181" s="75">
        <v>46158.0</v>
      </c>
      <c r="B181" s="72" t="s">
        <v>150</v>
      </c>
      <c r="C181" s="72" t="s">
        <v>124</v>
      </c>
      <c r="D181" s="72" t="s">
        <v>260</v>
      </c>
      <c r="E181" s="73">
        <v>-13930.0</v>
      </c>
    </row>
    <row r="182" ht="15.75" hidden="1" customHeight="1">
      <c r="A182" s="71">
        <v>46159.0</v>
      </c>
      <c r="B182" s="72" t="s">
        <v>153</v>
      </c>
      <c r="C182" s="72" t="s">
        <v>9</v>
      </c>
      <c r="D182" s="72" t="s">
        <v>154</v>
      </c>
      <c r="E182" s="73">
        <v>25.0</v>
      </c>
    </row>
    <row r="183" ht="15.75" hidden="1" customHeight="1">
      <c r="A183" s="71">
        <v>46159.0</v>
      </c>
      <c r="B183" s="72" t="s">
        <v>150</v>
      </c>
      <c r="C183" s="72" t="s">
        <v>122</v>
      </c>
      <c r="D183" s="72" t="s">
        <v>261</v>
      </c>
      <c r="E183" s="73">
        <v>-20000.0</v>
      </c>
    </row>
    <row r="184" ht="15.75" hidden="1" customHeight="1">
      <c r="A184" s="71">
        <v>46159.0</v>
      </c>
      <c r="B184" s="72" t="s">
        <v>153</v>
      </c>
      <c r="C184" s="72" t="s">
        <v>9</v>
      </c>
      <c r="D184" s="72" t="s">
        <v>154</v>
      </c>
      <c r="E184" s="73">
        <v>35.0</v>
      </c>
    </row>
    <row r="185" ht="15.75" hidden="1" customHeight="1">
      <c r="A185" s="71">
        <v>46159.0</v>
      </c>
      <c r="B185" s="72" t="s">
        <v>150</v>
      </c>
      <c r="C185" s="72" t="s">
        <v>122</v>
      </c>
      <c r="D185" s="72" t="s">
        <v>262</v>
      </c>
      <c r="E185" s="73">
        <v>-18500.0</v>
      </c>
    </row>
    <row r="186" ht="15.75" hidden="1" customHeight="1">
      <c r="A186" s="71">
        <v>46159.0</v>
      </c>
      <c r="B186" s="72" t="s">
        <v>153</v>
      </c>
      <c r="C186" s="72" t="s">
        <v>9</v>
      </c>
      <c r="D186" s="72" t="s">
        <v>154</v>
      </c>
      <c r="E186" s="73">
        <v>92.0</v>
      </c>
    </row>
    <row r="187" ht="15.75" hidden="1" customHeight="1">
      <c r="A187" s="71">
        <v>46159.0</v>
      </c>
      <c r="B187" s="72" t="s">
        <v>150</v>
      </c>
      <c r="C187" s="72" t="s">
        <v>122</v>
      </c>
      <c r="D187" s="72" t="s">
        <v>263</v>
      </c>
      <c r="E187" s="73">
        <v>-7000.0</v>
      </c>
    </row>
    <row r="188" ht="15.75" hidden="1" customHeight="1">
      <c r="A188" s="71">
        <v>46159.0</v>
      </c>
      <c r="B188" s="72" t="s">
        <v>153</v>
      </c>
      <c r="C188" s="72" t="s">
        <v>9</v>
      </c>
      <c r="D188" s="72" t="s">
        <v>154</v>
      </c>
      <c r="E188" s="73">
        <v>100.0</v>
      </c>
    </row>
    <row r="189" ht="15.75" hidden="1" customHeight="1">
      <c r="A189" s="71">
        <v>46159.0</v>
      </c>
      <c r="B189" s="72" t="s">
        <v>150</v>
      </c>
      <c r="C189" s="72" t="s">
        <v>122</v>
      </c>
      <c r="D189" s="72" t="s">
        <v>242</v>
      </c>
      <c r="E189" s="73">
        <v>-5900.0</v>
      </c>
    </row>
    <row r="190" ht="15.75" hidden="1" customHeight="1">
      <c r="A190" s="71">
        <v>46159.0</v>
      </c>
      <c r="B190" s="72" t="s">
        <v>150</v>
      </c>
      <c r="C190" s="72" t="s">
        <v>122</v>
      </c>
      <c r="D190" s="72" t="s">
        <v>264</v>
      </c>
      <c r="E190" s="73">
        <v>-5000.0</v>
      </c>
    </row>
    <row r="191" ht="15.75" hidden="1" customHeight="1">
      <c r="A191" s="75">
        <v>46159.0</v>
      </c>
      <c r="B191" s="72" t="s">
        <v>150</v>
      </c>
      <c r="C191" s="72" t="s">
        <v>119</v>
      </c>
      <c r="D191" s="72" t="s">
        <v>265</v>
      </c>
      <c r="E191" s="73">
        <v>-39940.0</v>
      </c>
    </row>
    <row r="192" ht="15.75" hidden="1" customHeight="1">
      <c r="A192" s="71">
        <v>46159.0</v>
      </c>
      <c r="B192" s="72" t="s">
        <v>150</v>
      </c>
      <c r="C192" s="72" t="s">
        <v>124</v>
      </c>
      <c r="D192" s="72" t="s">
        <v>266</v>
      </c>
      <c r="E192" s="73">
        <v>-350000.0</v>
      </c>
    </row>
    <row r="193" ht="15.75" hidden="1" customHeight="1">
      <c r="A193" s="71">
        <v>46160.0</v>
      </c>
      <c r="B193" s="72" t="s">
        <v>150</v>
      </c>
      <c r="C193" s="72" t="s">
        <v>122</v>
      </c>
      <c r="D193" s="72" t="s">
        <v>158</v>
      </c>
      <c r="E193" s="73">
        <v>-18360.0</v>
      </c>
    </row>
    <row r="194" ht="15.75" hidden="1" customHeight="1">
      <c r="A194" s="71">
        <v>46160.0</v>
      </c>
      <c r="B194" s="72" t="s">
        <v>150</v>
      </c>
      <c r="C194" s="72" t="s">
        <v>116</v>
      </c>
      <c r="D194" s="72" t="s">
        <v>267</v>
      </c>
      <c r="E194" s="73">
        <v>-38510.0</v>
      </c>
    </row>
    <row r="195" ht="15.75" hidden="1" customHeight="1">
      <c r="A195" s="71">
        <v>46160.0</v>
      </c>
      <c r="B195" s="72" t="s">
        <v>150</v>
      </c>
      <c r="C195" s="72" t="s">
        <v>116</v>
      </c>
      <c r="D195" s="72" t="s">
        <v>267</v>
      </c>
      <c r="E195" s="73">
        <v>-1370.0</v>
      </c>
    </row>
    <row r="196" ht="15.75" hidden="1" customHeight="1">
      <c r="A196" s="71">
        <v>46160.0</v>
      </c>
      <c r="B196" s="72" t="s">
        <v>166</v>
      </c>
      <c r="C196" s="72" t="s">
        <v>179</v>
      </c>
      <c r="D196" s="72" t="s">
        <v>186</v>
      </c>
      <c r="E196" s="73">
        <v>50500.0</v>
      </c>
    </row>
    <row r="197" ht="15.75" hidden="1" customHeight="1">
      <c r="A197" s="71">
        <v>46160.0</v>
      </c>
      <c r="B197" s="72" t="s">
        <v>150</v>
      </c>
      <c r="C197" s="72" t="s">
        <v>122</v>
      </c>
      <c r="D197" s="72" t="s">
        <v>151</v>
      </c>
      <c r="E197" s="73">
        <v>-17960.0</v>
      </c>
    </row>
    <row r="198" ht="15.75" hidden="1" customHeight="1">
      <c r="A198" s="75">
        <v>46160.0</v>
      </c>
      <c r="B198" s="72" t="s">
        <v>166</v>
      </c>
      <c r="C198" s="72" t="s">
        <v>166</v>
      </c>
      <c r="D198" s="72" t="s">
        <v>192</v>
      </c>
      <c r="E198" s="73">
        <v>-9.0E7</v>
      </c>
    </row>
    <row r="199" ht="15.75" hidden="1" customHeight="1">
      <c r="A199" s="75">
        <v>46160.0</v>
      </c>
      <c r="B199" s="72" t="s">
        <v>166</v>
      </c>
      <c r="C199" s="72" t="s">
        <v>166</v>
      </c>
      <c r="D199" s="72" t="s">
        <v>268</v>
      </c>
      <c r="E199" s="73">
        <v>9.0E7</v>
      </c>
    </row>
    <row r="200" ht="15.75" hidden="1" customHeight="1">
      <c r="A200" s="75">
        <v>46160.0</v>
      </c>
      <c r="B200" s="72" t="s">
        <v>166</v>
      </c>
      <c r="C200" s="72" t="s">
        <v>166</v>
      </c>
      <c r="D200" s="72" t="s">
        <v>269</v>
      </c>
      <c r="E200" s="73">
        <v>-4.0E7</v>
      </c>
    </row>
    <row r="201" ht="15.75" hidden="1" customHeight="1">
      <c r="A201" s="75">
        <v>46160.0</v>
      </c>
      <c r="B201" s="72" t="s">
        <v>166</v>
      </c>
      <c r="C201" s="72" t="s">
        <v>166</v>
      </c>
      <c r="D201" s="72" t="s">
        <v>186</v>
      </c>
      <c r="E201" s="73">
        <v>4.0E7</v>
      </c>
    </row>
    <row r="202" ht="15.75" hidden="1" customHeight="1">
      <c r="A202" s="71">
        <v>46160.0</v>
      </c>
      <c r="B202" s="72" t="s">
        <v>150</v>
      </c>
      <c r="C202" s="72" t="s">
        <v>122</v>
      </c>
      <c r="D202" s="72" t="s">
        <v>242</v>
      </c>
      <c r="E202" s="73">
        <v>-5900.0</v>
      </c>
    </row>
    <row r="203" ht="15.75" hidden="1" customHeight="1">
      <c r="A203" s="71">
        <v>46161.0</v>
      </c>
      <c r="B203" s="72" t="s">
        <v>150</v>
      </c>
      <c r="C203" s="72" t="s">
        <v>122</v>
      </c>
      <c r="D203" s="72" t="s">
        <v>270</v>
      </c>
      <c r="E203" s="73">
        <v>-7500.0</v>
      </c>
    </row>
    <row r="204" ht="15.75" hidden="1" customHeight="1">
      <c r="A204" s="75">
        <v>46161.0</v>
      </c>
      <c r="B204" s="72" t="s">
        <v>153</v>
      </c>
      <c r="C204" s="72" t="s">
        <v>9</v>
      </c>
      <c r="D204" s="72" t="s">
        <v>154</v>
      </c>
      <c r="E204" s="73">
        <v>590.0</v>
      </c>
    </row>
    <row r="205" ht="15.75" hidden="1" customHeight="1">
      <c r="A205" s="75">
        <v>46161.0</v>
      </c>
      <c r="B205" s="72" t="s">
        <v>150</v>
      </c>
      <c r="C205" s="72" t="s">
        <v>128</v>
      </c>
      <c r="D205" s="72" t="s">
        <v>271</v>
      </c>
      <c r="E205" s="73">
        <v>-59000.0</v>
      </c>
    </row>
    <row r="206" ht="15.75" hidden="1" customHeight="1">
      <c r="A206" s="75">
        <v>46161.0</v>
      </c>
      <c r="B206" s="72" t="s">
        <v>153</v>
      </c>
      <c r="C206" s="72" t="s">
        <v>9</v>
      </c>
      <c r="D206" s="72" t="s">
        <v>154</v>
      </c>
      <c r="E206" s="73">
        <v>429.0</v>
      </c>
    </row>
    <row r="207" ht="15.75" hidden="1" customHeight="1">
      <c r="A207" s="75">
        <v>46161.0</v>
      </c>
      <c r="B207" s="72" t="s">
        <v>150</v>
      </c>
      <c r="C207" s="72" t="s">
        <v>131</v>
      </c>
      <c r="D207" s="72" t="s">
        <v>272</v>
      </c>
      <c r="E207" s="73">
        <v>-42900.0</v>
      </c>
    </row>
    <row r="208" ht="15.75" hidden="1" customHeight="1">
      <c r="A208" s="75">
        <v>46161.0</v>
      </c>
      <c r="B208" s="72" t="s">
        <v>150</v>
      </c>
      <c r="C208" s="72" t="s">
        <v>124</v>
      </c>
      <c r="D208" s="72" t="s">
        <v>273</v>
      </c>
      <c r="E208" s="73">
        <v>-20000.0</v>
      </c>
    </row>
    <row r="209" ht="15.75" hidden="1" customHeight="1">
      <c r="A209" s="75">
        <v>46161.0</v>
      </c>
      <c r="B209" s="72" t="s">
        <v>166</v>
      </c>
      <c r="C209" s="72" t="s">
        <v>166</v>
      </c>
      <c r="D209" s="72" t="s">
        <v>274</v>
      </c>
      <c r="E209" s="73">
        <v>-9.19E7</v>
      </c>
    </row>
    <row r="210" ht="15.75" hidden="1" customHeight="1">
      <c r="A210" s="75">
        <v>46161.0</v>
      </c>
      <c r="B210" s="72" t="s">
        <v>166</v>
      </c>
      <c r="C210" s="72" t="s">
        <v>166</v>
      </c>
      <c r="D210" s="72" t="s">
        <v>186</v>
      </c>
      <c r="E210" s="73">
        <v>4.19E7</v>
      </c>
    </row>
    <row r="211" ht="15.75" hidden="1" customHeight="1">
      <c r="A211" s="75">
        <v>46161.0</v>
      </c>
      <c r="B211" s="72" t="s">
        <v>166</v>
      </c>
      <c r="C211" s="72" t="s">
        <v>166</v>
      </c>
      <c r="D211" s="72" t="s">
        <v>186</v>
      </c>
      <c r="E211" s="73">
        <v>5.0E7</v>
      </c>
    </row>
    <row r="212" ht="15.75" hidden="1" customHeight="1">
      <c r="A212" s="75">
        <v>46161.0</v>
      </c>
      <c r="B212" s="72" t="s">
        <v>150</v>
      </c>
      <c r="C212" s="72" t="s">
        <v>117</v>
      </c>
      <c r="D212" s="72" t="s">
        <v>275</v>
      </c>
      <c r="E212" s="73">
        <v>-4900.0</v>
      </c>
    </row>
    <row r="213" ht="15.75" hidden="1" customHeight="1">
      <c r="A213" s="71">
        <v>46162.0</v>
      </c>
      <c r="B213" s="72" t="s">
        <v>166</v>
      </c>
      <c r="C213" s="72" t="s">
        <v>179</v>
      </c>
      <c r="D213" s="72" t="s">
        <v>186</v>
      </c>
      <c r="E213" s="73">
        <v>56000.0</v>
      </c>
    </row>
    <row r="214" ht="15.75" hidden="1" customHeight="1">
      <c r="A214" s="71">
        <v>46162.0</v>
      </c>
      <c r="B214" s="72" t="s">
        <v>150</v>
      </c>
      <c r="C214" s="72" t="s">
        <v>129</v>
      </c>
      <c r="D214" s="72" t="s">
        <v>276</v>
      </c>
      <c r="E214" s="73">
        <v>-50000.0</v>
      </c>
    </row>
    <row r="215" ht="15.75" hidden="1" customHeight="1">
      <c r="A215" s="71">
        <v>46162.0</v>
      </c>
      <c r="B215" s="72" t="s">
        <v>150</v>
      </c>
      <c r="C215" s="72" t="s">
        <v>130</v>
      </c>
      <c r="D215" s="72" t="s">
        <v>168</v>
      </c>
      <c r="E215" s="73">
        <v>-10000.0</v>
      </c>
    </row>
    <row r="216" ht="15.75" hidden="1" customHeight="1">
      <c r="A216" s="71">
        <v>46162.0</v>
      </c>
      <c r="B216" s="72" t="s">
        <v>153</v>
      </c>
      <c r="C216" s="72" t="s">
        <v>9</v>
      </c>
      <c r="D216" s="72" t="s">
        <v>154</v>
      </c>
      <c r="E216" s="73">
        <v>30.0</v>
      </c>
    </row>
    <row r="217" ht="15.75" hidden="1" customHeight="1">
      <c r="A217" s="71">
        <v>46162.0</v>
      </c>
      <c r="B217" s="72" t="s">
        <v>150</v>
      </c>
      <c r="C217" s="72" t="s">
        <v>126</v>
      </c>
      <c r="D217" s="72" t="s">
        <v>277</v>
      </c>
      <c r="E217" s="73">
        <v>-6000.0</v>
      </c>
    </row>
    <row r="218" ht="15.75" hidden="1" customHeight="1">
      <c r="A218" s="71">
        <v>46162.0</v>
      </c>
      <c r="B218" s="72" t="s">
        <v>150</v>
      </c>
      <c r="C218" s="72" t="s">
        <v>113</v>
      </c>
      <c r="D218" s="72" t="s">
        <v>278</v>
      </c>
      <c r="E218" s="73">
        <v>-87124.0</v>
      </c>
    </row>
    <row r="219" ht="15.75" hidden="1" customHeight="1">
      <c r="A219" s="75">
        <v>46162.0</v>
      </c>
      <c r="B219" s="72" t="s">
        <v>150</v>
      </c>
      <c r="C219" s="72" t="s">
        <v>126</v>
      </c>
      <c r="D219" s="72" t="s">
        <v>279</v>
      </c>
      <c r="E219" s="73">
        <v>-256900.0</v>
      </c>
      <c r="F219" s="76" t="s">
        <v>208</v>
      </c>
    </row>
    <row r="220" ht="15.75" customHeight="1">
      <c r="A220" s="75">
        <v>46162.0</v>
      </c>
      <c r="B220" s="72" t="s">
        <v>150</v>
      </c>
      <c r="C220" s="72" t="s">
        <v>114</v>
      </c>
      <c r="D220" s="72" t="s">
        <v>280</v>
      </c>
      <c r="E220" s="73">
        <v>-79000.0</v>
      </c>
    </row>
    <row r="221" ht="15.75" hidden="1" customHeight="1">
      <c r="A221" s="71">
        <v>46163.0</v>
      </c>
      <c r="B221" s="72" t="s">
        <v>166</v>
      </c>
      <c r="C221" s="72" t="s">
        <v>179</v>
      </c>
      <c r="D221" s="72" t="s">
        <v>186</v>
      </c>
      <c r="E221" s="73">
        <v>-2400000.0</v>
      </c>
    </row>
    <row r="222" ht="15.75" hidden="1" customHeight="1">
      <c r="A222" s="71">
        <v>46163.0</v>
      </c>
      <c r="B222" s="72" t="s">
        <v>153</v>
      </c>
      <c r="C222" s="72" t="s">
        <v>9</v>
      </c>
      <c r="D222" s="72" t="s">
        <v>154</v>
      </c>
      <c r="E222" s="73">
        <v>25.0</v>
      </c>
    </row>
    <row r="223" ht="15.75" hidden="1" customHeight="1">
      <c r="A223" s="71">
        <v>46163.0</v>
      </c>
      <c r="B223" s="72" t="s">
        <v>150</v>
      </c>
      <c r="C223" s="72" t="s">
        <v>122</v>
      </c>
      <c r="D223" s="72" t="s">
        <v>281</v>
      </c>
      <c r="E223" s="73">
        <v>-5900.0</v>
      </c>
    </row>
    <row r="224" ht="15.75" hidden="1" customHeight="1">
      <c r="A224" s="71">
        <v>46163.0</v>
      </c>
      <c r="B224" s="72" t="s">
        <v>150</v>
      </c>
      <c r="C224" s="72" t="s">
        <v>122</v>
      </c>
      <c r="D224" s="72" t="s">
        <v>252</v>
      </c>
      <c r="E224" s="73">
        <v>-5000.0</v>
      </c>
    </row>
    <row r="225" ht="15.75" hidden="1" customHeight="1">
      <c r="A225" s="75">
        <v>46163.0</v>
      </c>
      <c r="B225" s="72" t="s">
        <v>150</v>
      </c>
      <c r="C225" s="72" t="s">
        <v>116</v>
      </c>
      <c r="D225" s="72" t="s">
        <v>282</v>
      </c>
      <c r="E225" s="73">
        <v>-159270.0</v>
      </c>
    </row>
    <row r="226" ht="15.75" hidden="1" customHeight="1">
      <c r="A226" s="75">
        <v>46163.0</v>
      </c>
      <c r="B226" s="72" t="s">
        <v>166</v>
      </c>
      <c r="C226" s="72" t="s">
        <v>173</v>
      </c>
      <c r="D226" s="72" t="s">
        <v>248</v>
      </c>
      <c r="E226" s="73">
        <v>3000000.0</v>
      </c>
    </row>
    <row r="227" ht="15.75" hidden="1" customHeight="1">
      <c r="A227" s="71">
        <v>46163.0</v>
      </c>
      <c r="B227" s="72" t="s">
        <v>166</v>
      </c>
      <c r="C227" s="72" t="s">
        <v>166</v>
      </c>
      <c r="D227" s="72" t="s">
        <v>248</v>
      </c>
      <c r="E227" s="73">
        <v>-3000000.0</v>
      </c>
    </row>
    <row r="228" ht="15.75" hidden="1" customHeight="1">
      <c r="A228" s="71">
        <v>46163.0</v>
      </c>
      <c r="B228" s="72" t="s">
        <v>166</v>
      </c>
      <c r="C228" s="72" t="s">
        <v>179</v>
      </c>
      <c r="D228" s="72" t="s">
        <v>187</v>
      </c>
      <c r="E228" s="73">
        <v>4456900.0</v>
      </c>
    </row>
    <row r="229" ht="15.75" hidden="1" customHeight="1">
      <c r="A229" s="71">
        <v>46163.0</v>
      </c>
      <c r="B229" s="72" t="s">
        <v>166</v>
      </c>
      <c r="C229" s="72" t="s">
        <v>179</v>
      </c>
      <c r="D229" s="72" t="s">
        <v>186</v>
      </c>
      <c r="E229" s="73">
        <v>-4456900.0</v>
      </c>
    </row>
    <row r="230" ht="15.75" hidden="1" customHeight="1">
      <c r="A230" s="71">
        <v>46163.0</v>
      </c>
      <c r="B230" s="72" t="s">
        <v>153</v>
      </c>
      <c r="C230" s="72" t="s">
        <v>3</v>
      </c>
      <c r="D230" s="72" t="s">
        <v>283</v>
      </c>
      <c r="E230" s="73">
        <v>4456900.0</v>
      </c>
    </row>
    <row r="231" ht="15.75" hidden="1" customHeight="1">
      <c r="A231" s="75">
        <v>46163.0</v>
      </c>
      <c r="B231" s="72" t="s">
        <v>166</v>
      </c>
      <c r="C231" s="72" t="s">
        <v>166</v>
      </c>
      <c r="D231" s="72" t="s">
        <v>192</v>
      </c>
      <c r="E231" s="73">
        <v>-2000000.0</v>
      </c>
    </row>
    <row r="232" ht="15.75" hidden="1" customHeight="1">
      <c r="A232" s="75">
        <v>46163.0</v>
      </c>
      <c r="B232" s="72" t="s">
        <v>150</v>
      </c>
      <c r="C232" s="72" t="s">
        <v>111</v>
      </c>
      <c r="D232" s="72" t="s">
        <v>284</v>
      </c>
      <c r="E232" s="73">
        <v>-1192505.0</v>
      </c>
    </row>
    <row r="233" ht="15.75" hidden="1" customHeight="1">
      <c r="A233" s="75">
        <v>46163.0</v>
      </c>
      <c r="B233" s="72" t="s">
        <v>150</v>
      </c>
      <c r="C233" s="72" t="s">
        <v>113</v>
      </c>
      <c r="D233" s="72" t="s">
        <v>285</v>
      </c>
      <c r="E233" s="73">
        <v>-37200.0</v>
      </c>
    </row>
    <row r="234" ht="15.75" hidden="1" customHeight="1">
      <c r="A234" s="75">
        <v>46163.0</v>
      </c>
      <c r="B234" s="72" t="s">
        <v>150</v>
      </c>
      <c r="C234" s="72" t="s">
        <v>131</v>
      </c>
      <c r="D234" s="72" t="s">
        <v>286</v>
      </c>
      <c r="E234" s="73">
        <v>-34000.0</v>
      </c>
    </row>
    <row r="235" ht="15.75" hidden="1" customHeight="1">
      <c r="A235" s="75">
        <v>46163.0</v>
      </c>
      <c r="B235" s="72" t="s">
        <v>166</v>
      </c>
      <c r="C235" s="72" t="s">
        <v>179</v>
      </c>
      <c r="D235" s="72" t="s">
        <v>248</v>
      </c>
      <c r="E235" s="73">
        <v>25000.0</v>
      </c>
    </row>
    <row r="236" ht="15.75" hidden="1" customHeight="1">
      <c r="A236" s="75">
        <v>46163.0</v>
      </c>
      <c r="B236" s="72" t="s">
        <v>166</v>
      </c>
      <c r="C236" s="72" t="s">
        <v>179</v>
      </c>
      <c r="D236" s="72" t="s">
        <v>248</v>
      </c>
      <c r="E236" s="73">
        <v>-25000.0</v>
      </c>
    </row>
    <row r="237" ht="15.75" hidden="1" customHeight="1">
      <c r="A237" s="75">
        <v>46163.0</v>
      </c>
      <c r="B237" s="72" t="s">
        <v>166</v>
      </c>
      <c r="C237" s="72" t="s">
        <v>179</v>
      </c>
      <c r="D237" s="72" t="s">
        <v>248</v>
      </c>
      <c r="E237" s="73">
        <v>50000.0</v>
      </c>
    </row>
    <row r="238" ht="15.75" hidden="1" customHeight="1">
      <c r="A238" s="75">
        <v>46163.0</v>
      </c>
      <c r="B238" s="72" t="s">
        <v>166</v>
      </c>
      <c r="C238" s="72" t="s">
        <v>179</v>
      </c>
      <c r="D238" s="72" t="s">
        <v>287</v>
      </c>
      <c r="E238" s="73">
        <v>-50000.0</v>
      </c>
    </row>
    <row r="239" ht="15.75" hidden="1" customHeight="1">
      <c r="A239" s="75">
        <v>46163.0</v>
      </c>
      <c r="B239" s="72" t="s">
        <v>166</v>
      </c>
      <c r="C239" s="72" t="s">
        <v>166</v>
      </c>
      <c r="D239" s="72" t="s">
        <v>288</v>
      </c>
      <c r="E239" s="73">
        <v>-3000000.0</v>
      </c>
    </row>
    <row r="240" ht="15.75" hidden="1" customHeight="1">
      <c r="A240" s="75">
        <v>46163.0</v>
      </c>
      <c r="B240" s="72" t="s">
        <v>166</v>
      </c>
      <c r="C240" s="72" t="s">
        <v>179</v>
      </c>
      <c r="D240" s="72" t="s">
        <v>248</v>
      </c>
      <c r="E240" s="73">
        <v>4039916.0</v>
      </c>
    </row>
    <row r="241" ht="15.75" hidden="1" customHeight="1">
      <c r="A241" s="75">
        <v>46163.0</v>
      </c>
      <c r="B241" s="72" t="s">
        <v>166</v>
      </c>
      <c r="C241" s="72" t="s">
        <v>179</v>
      </c>
      <c r="D241" s="72" t="s">
        <v>248</v>
      </c>
      <c r="E241" s="73">
        <v>-4039916.0</v>
      </c>
    </row>
    <row r="242" ht="15.75" hidden="1" customHeight="1">
      <c r="A242" s="75">
        <v>46163.0</v>
      </c>
      <c r="B242" s="72" t="s">
        <v>166</v>
      </c>
      <c r="C242" s="72" t="s">
        <v>161</v>
      </c>
      <c r="D242" s="72" t="s">
        <v>283</v>
      </c>
      <c r="E242" s="73">
        <v>3000000.0</v>
      </c>
    </row>
    <row r="243" ht="15.75" hidden="1" customHeight="1">
      <c r="A243" s="75">
        <v>46163.0</v>
      </c>
      <c r="B243" s="72" t="s">
        <v>153</v>
      </c>
      <c r="C243" s="72" t="s">
        <v>6</v>
      </c>
      <c r="D243" s="72" t="s">
        <v>187</v>
      </c>
      <c r="E243" s="73">
        <v>4159916.0</v>
      </c>
    </row>
    <row r="244" ht="15.75" hidden="1" customHeight="1">
      <c r="A244" s="71">
        <v>46164.0</v>
      </c>
      <c r="B244" s="72" t="s">
        <v>150</v>
      </c>
      <c r="C244" s="72" t="s">
        <v>122</v>
      </c>
      <c r="D244" s="72" t="s">
        <v>223</v>
      </c>
      <c r="E244" s="73">
        <v>-20999.0</v>
      </c>
    </row>
    <row r="245" ht="15.75" hidden="1" customHeight="1">
      <c r="A245" s="71">
        <v>46164.0</v>
      </c>
      <c r="B245" s="72" t="s">
        <v>166</v>
      </c>
      <c r="C245" s="72" t="s">
        <v>179</v>
      </c>
      <c r="D245" s="72" t="s">
        <v>289</v>
      </c>
      <c r="E245" s="73">
        <v>200000.0</v>
      </c>
    </row>
    <row r="246" ht="15.75" hidden="1" customHeight="1">
      <c r="A246" s="71">
        <v>46164.0</v>
      </c>
      <c r="B246" s="72" t="s">
        <v>166</v>
      </c>
      <c r="C246" s="72" t="s">
        <v>179</v>
      </c>
      <c r="D246" s="72" t="s">
        <v>289</v>
      </c>
      <c r="E246" s="73">
        <v>-200000.0</v>
      </c>
    </row>
    <row r="247" ht="15.75" hidden="1" customHeight="1">
      <c r="A247" s="71">
        <v>46164.0</v>
      </c>
      <c r="B247" s="72" t="s">
        <v>150</v>
      </c>
      <c r="C247" s="72" t="s">
        <v>117</v>
      </c>
      <c r="D247" s="72" t="s">
        <v>290</v>
      </c>
      <c r="E247" s="73">
        <v>1000.0</v>
      </c>
    </row>
    <row r="248" ht="15.75" hidden="1" customHeight="1">
      <c r="A248" s="71">
        <v>46164.0</v>
      </c>
      <c r="B248" s="72" t="s">
        <v>150</v>
      </c>
      <c r="C248" s="72" t="s">
        <v>117</v>
      </c>
      <c r="D248" s="72" t="s">
        <v>290</v>
      </c>
      <c r="E248" s="73">
        <v>-1000.0</v>
      </c>
    </row>
    <row r="249" ht="15.75" hidden="1" customHeight="1">
      <c r="A249" s="75">
        <v>46164.0</v>
      </c>
      <c r="B249" s="72" t="s">
        <v>166</v>
      </c>
      <c r="C249" s="72" t="s">
        <v>179</v>
      </c>
      <c r="D249" s="72" t="s">
        <v>186</v>
      </c>
      <c r="E249" s="73">
        <v>5000.0</v>
      </c>
    </row>
    <row r="250" ht="15.75" hidden="1" customHeight="1">
      <c r="A250" s="71">
        <v>46164.0</v>
      </c>
      <c r="B250" s="72" t="s">
        <v>166</v>
      </c>
      <c r="C250" s="72" t="s">
        <v>179</v>
      </c>
      <c r="D250" s="72" t="s">
        <v>186</v>
      </c>
      <c r="E250" s="73">
        <v>-5000.0</v>
      </c>
    </row>
    <row r="251" ht="15.75" hidden="1" customHeight="1">
      <c r="A251" s="71">
        <v>46164.0</v>
      </c>
      <c r="B251" s="72" t="s">
        <v>166</v>
      </c>
      <c r="C251" s="72" t="s">
        <v>179</v>
      </c>
      <c r="D251" s="72" t="s">
        <v>248</v>
      </c>
      <c r="E251" s="73">
        <v>100000.0</v>
      </c>
    </row>
    <row r="252" ht="15.75" hidden="1" customHeight="1">
      <c r="A252" s="71">
        <v>46164.0</v>
      </c>
      <c r="B252" s="72" t="s">
        <v>150</v>
      </c>
      <c r="C252" s="72" t="s">
        <v>118</v>
      </c>
      <c r="D252" s="72" t="s">
        <v>291</v>
      </c>
      <c r="E252" s="73">
        <v>-100000.0</v>
      </c>
    </row>
    <row r="253" ht="15.75" hidden="1" customHeight="1">
      <c r="A253" s="71">
        <v>46164.0</v>
      </c>
      <c r="B253" s="72" t="s">
        <v>153</v>
      </c>
      <c r="C253" s="72" t="s">
        <v>210</v>
      </c>
      <c r="D253" s="72" t="s">
        <v>292</v>
      </c>
      <c r="E253" s="73">
        <v>175000.0</v>
      </c>
      <c r="F253" s="76" t="s">
        <v>212</v>
      </c>
    </row>
    <row r="254" ht="15.75" hidden="1" customHeight="1">
      <c r="A254" s="71">
        <v>46164.0</v>
      </c>
      <c r="B254" s="72" t="s">
        <v>166</v>
      </c>
      <c r="C254" s="72" t="s">
        <v>166</v>
      </c>
      <c r="D254" s="72" t="s">
        <v>192</v>
      </c>
      <c r="E254" s="73">
        <v>-1225000.0</v>
      </c>
    </row>
    <row r="255" ht="15.75" hidden="1" customHeight="1">
      <c r="A255" s="71">
        <v>46164.0</v>
      </c>
      <c r="B255" s="72" t="s">
        <v>153</v>
      </c>
      <c r="C255" s="72" t="s">
        <v>9</v>
      </c>
      <c r="D255" s="72" t="s">
        <v>293</v>
      </c>
      <c r="E255" s="73">
        <v>125000.0</v>
      </c>
    </row>
    <row r="256" ht="15.75" hidden="1" customHeight="1">
      <c r="A256" s="71">
        <v>46164.0</v>
      </c>
      <c r="B256" s="72" t="s">
        <v>153</v>
      </c>
      <c r="C256" s="72" t="s">
        <v>9</v>
      </c>
      <c r="D256" s="72" t="s">
        <v>154</v>
      </c>
      <c r="E256" s="73">
        <v>10.0</v>
      </c>
    </row>
    <row r="257" ht="15.75" hidden="1" customHeight="1">
      <c r="A257" s="71">
        <v>46164.0</v>
      </c>
      <c r="B257" s="72" t="s">
        <v>150</v>
      </c>
      <c r="C257" s="72" t="s">
        <v>130</v>
      </c>
      <c r="D257" s="72" t="s">
        <v>294</v>
      </c>
      <c r="E257" s="73">
        <v>-2100.0</v>
      </c>
    </row>
    <row r="258" ht="15.75" hidden="1" customHeight="1">
      <c r="A258" s="71">
        <v>46164.0</v>
      </c>
      <c r="B258" s="72" t="s">
        <v>150</v>
      </c>
      <c r="C258" s="72" t="s">
        <v>131</v>
      </c>
      <c r="D258" s="72" t="s">
        <v>295</v>
      </c>
      <c r="E258" s="73">
        <v>-11000.0</v>
      </c>
    </row>
    <row r="259" ht="15.75" hidden="1" customHeight="1">
      <c r="A259" s="71">
        <v>46164.0</v>
      </c>
      <c r="B259" s="72" t="s">
        <v>166</v>
      </c>
      <c r="C259" s="72" t="s">
        <v>179</v>
      </c>
      <c r="D259" s="72" t="s">
        <v>248</v>
      </c>
      <c r="E259" s="73">
        <v>11700.0</v>
      </c>
    </row>
    <row r="260" ht="15.75" hidden="1" customHeight="1">
      <c r="A260" s="71">
        <v>46164.0</v>
      </c>
      <c r="B260" s="72" t="s">
        <v>166</v>
      </c>
      <c r="C260" s="72" t="s">
        <v>179</v>
      </c>
      <c r="D260" s="72" t="s">
        <v>248</v>
      </c>
      <c r="E260" s="73">
        <v>-11700.0</v>
      </c>
    </row>
    <row r="261" ht="15.75" hidden="1" customHeight="1">
      <c r="A261" s="71">
        <v>46164.0</v>
      </c>
      <c r="B261" s="72" t="s">
        <v>166</v>
      </c>
      <c r="C261" s="72" t="s">
        <v>166</v>
      </c>
      <c r="D261" s="72" t="s">
        <v>186</v>
      </c>
      <c r="E261" s="73">
        <v>-100000.0</v>
      </c>
    </row>
    <row r="262" ht="15.75" hidden="1" customHeight="1">
      <c r="A262" s="71">
        <v>46164.0</v>
      </c>
      <c r="B262" s="72" t="s">
        <v>153</v>
      </c>
      <c r="C262" s="72" t="s">
        <v>6</v>
      </c>
      <c r="D262" s="72" t="s">
        <v>296</v>
      </c>
      <c r="E262" s="73">
        <v>100000.0</v>
      </c>
    </row>
    <row r="263" ht="15.75" hidden="1" customHeight="1">
      <c r="A263" s="71">
        <v>46164.0</v>
      </c>
      <c r="B263" s="72" t="s">
        <v>153</v>
      </c>
      <c r="C263" s="72" t="s">
        <v>6</v>
      </c>
      <c r="D263" s="72" t="s">
        <v>296</v>
      </c>
      <c r="E263" s="73">
        <v>100000.0</v>
      </c>
    </row>
    <row r="264" ht="15.75" hidden="1" customHeight="1">
      <c r="A264" s="75">
        <v>46164.0</v>
      </c>
      <c r="B264" s="72" t="s">
        <v>153</v>
      </c>
      <c r="C264" s="72" t="s">
        <v>6</v>
      </c>
      <c r="D264" s="72" t="s">
        <v>297</v>
      </c>
      <c r="E264" s="73">
        <v>1000000.0</v>
      </c>
    </row>
    <row r="265" ht="15.75" hidden="1" customHeight="1">
      <c r="A265" s="71">
        <v>46164.0</v>
      </c>
      <c r="B265" s="72" t="s">
        <v>150</v>
      </c>
      <c r="C265" s="72" t="s">
        <v>126</v>
      </c>
      <c r="D265" s="72" t="s">
        <v>178</v>
      </c>
      <c r="E265" s="73">
        <v>-20000.0</v>
      </c>
    </row>
    <row r="266" ht="15.75" hidden="1" customHeight="1">
      <c r="A266" s="75">
        <v>46165.0</v>
      </c>
      <c r="B266" s="72" t="s">
        <v>153</v>
      </c>
      <c r="C266" s="72" t="s">
        <v>9</v>
      </c>
      <c r="D266" s="72" t="s">
        <v>154</v>
      </c>
      <c r="E266" s="73">
        <v>18.0</v>
      </c>
    </row>
    <row r="267" ht="15.75" hidden="1" customHeight="1">
      <c r="A267" s="75">
        <v>46165.0</v>
      </c>
      <c r="B267" s="72" t="s">
        <v>150</v>
      </c>
      <c r="C267" s="72" t="s">
        <v>122</v>
      </c>
      <c r="D267" s="72" t="s">
        <v>298</v>
      </c>
      <c r="E267" s="73">
        <v>-3780.0</v>
      </c>
    </row>
    <row r="268" ht="15.75" hidden="1" customHeight="1">
      <c r="A268" s="75">
        <v>46165.0</v>
      </c>
      <c r="B268" s="72" t="s">
        <v>153</v>
      </c>
      <c r="C268" s="72" t="s">
        <v>9</v>
      </c>
      <c r="D268" s="72" t="s">
        <v>299</v>
      </c>
      <c r="E268" s="73">
        <v>10.0</v>
      </c>
    </row>
    <row r="269" ht="15.75" hidden="1" customHeight="1">
      <c r="A269" s="75">
        <v>46165.0</v>
      </c>
      <c r="B269" s="72" t="s">
        <v>166</v>
      </c>
      <c r="C269" s="72" t="s">
        <v>166</v>
      </c>
      <c r="D269" s="72" t="s">
        <v>300</v>
      </c>
      <c r="E269" s="73">
        <v>0.0</v>
      </c>
    </row>
    <row r="270" ht="15.75" hidden="1" customHeight="1">
      <c r="A270" s="75">
        <v>46165.0</v>
      </c>
      <c r="B270" s="72" t="s">
        <v>166</v>
      </c>
      <c r="C270" s="72" t="s">
        <v>166</v>
      </c>
      <c r="D270" s="72" t="s">
        <v>300</v>
      </c>
      <c r="E270" s="73">
        <v>0.0</v>
      </c>
    </row>
    <row r="271" ht="15.75" hidden="1" customHeight="1">
      <c r="A271" s="75">
        <v>46165.0</v>
      </c>
      <c r="B271" s="72" t="s">
        <v>166</v>
      </c>
      <c r="C271" s="72" t="s">
        <v>174</v>
      </c>
      <c r="D271" s="72" t="s">
        <v>301</v>
      </c>
      <c r="E271" s="73">
        <v>644.0</v>
      </c>
    </row>
    <row r="272" ht="15.75" hidden="1" customHeight="1">
      <c r="A272" s="75">
        <v>46165.0</v>
      </c>
      <c r="B272" s="72" t="s">
        <v>150</v>
      </c>
      <c r="C272" s="72" t="s">
        <v>118</v>
      </c>
      <c r="D272" s="72" t="s">
        <v>302</v>
      </c>
      <c r="E272" s="73">
        <v>-300.0</v>
      </c>
    </row>
    <row r="273" ht="15.75" hidden="1" customHeight="1">
      <c r="A273" s="75">
        <v>46165.0</v>
      </c>
      <c r="B273" s="72" t="s">
        <v>166</v>
      </c>
      <c r="C273" s="72" t="s">
        <v>166</v>
      </c>
      <c r="D273" s="72" t="s">
        <v>300</v>
      </c>
      <c r="E273" s="73">
        <v>0.0</v>
      </c>
    </row>
    <row r="274" ht="15.75" hidden="1" customHeight="1">
      <c r="A274" s="75">
        <v>46165.0</v>
      </c>
      <c r="B274" s="72" t="s">
        <v>166</v>
      </c>
      <c r="C274" s="72" t="s">
        <v>166</v>
      </c>
      <c r="D274" s="72" t="s">
        <v>300</v>
      </c>
      <c r="E274" s="73">
        <v>0.0</v>
      </c>
    </row>
    <row r="275" ht="15.75" hidden="1" customHeight="1">
      <c r="A275" s="75">
        <v>46165.0</v>
      </c>
      <c r="B275" s="72" t="s">
        <v>153</v>
      </c>
      <c r="C275" s="72" t="s">
        <v>9</v>
      </c>
      <c r="D275" s="72" t="s">
        <v>299</v>
      </c>
      <c r="E275" s="73">
        <v>11.0</v>
      </c>
    </row>
    <row r="276" ht="15.75" hidden="1" customHeight="1">
      <c r="A276" s="75">
        <v>46165.0</v>
      </c>
      <c r="B276" s="72" t="s">
        <v>166</v>
      </c>
      <c r="C276" s="72" t="s">
        <v>166</v>
      </c>
      <c r="D276" s="72" t="s">
        <v>300</v>
      </c>
      <c r="E276" s="73">
        <v>0.0</v>
      </c>
    </row>
    <row r="277" ht="15.75" hidden="1" customHeight="1">
      <c r="A277" s="75">
        <v>46165.0</v>
      </c>
      <c r="B277" s="72" t="s">
        <v>166</v>
      </c>
      <c r="C277" s="72" t="s">
        <v>174</v>
      </c>
      <c r="D277" s="72" t="s">
        <v>301</v>
      </c>
      <c r="E277" s="73">
        <v>370.0</v>
      </c>
    </row>
    <row r="278" ht="15.75" hidden="1" customHeight="1">
      <c r="A278" s="75">
        <v>46165.0</v>
      </c>
      <c r="B278" s="72" t="s">
        <v>166</v>
      </c>
      <c r="C278" s="72" t="s">
        <v>174</v>
      </c>
      <c r="D278" s="72" t="s">
        <v>301</v>
      </c>
      <c r="E278" s="73">
        <v>0.0</v>
      </c>
    </row>
    <row r="279" ht="15.75" hidden="1" customHeight="1">
      <c r="A279" s="75">
        <v>46165.0</v>
      </c>
      <c r="B279" s="72" t="s">
        <v>150</v>
      </c>
      <c r="C279" s="72" t="s">
        <v>126</v>
      </c>
      <c r="D279" s="72" t="s">
        <v>303</v>
      </c>
      <c r="E279" s="73">
        <v>-12700.0</v>
      </c>
    </row>
    <row r="280" ht="15.75" hidden="1" customHeight="1">
      <c r="A280" s="75">
        <v>46166.0</v>
      </c>
      <c r="B280" s="72" t="s">
        <v>153</v>
      </c>
      <c r="C280" s="72" t="s">
        <v>9</v>
      </c>
      <c r="D280" s="72" t="s">
        <v>154</v>
      </c>
      <c r="E280" s="73">
        <v>25.0</v>
      </c>
    </row>
    <row r="281" ht="15.75" hidden="1" customHeight="1">
      <c r="A281" s="75">
        <v>46166.0</v>
      </c>
      <c r="B281" s="72" t="s">
        <v>150</v>
      </c>
      <c r="C281" s="72" t="s">
        <v>122</v>
      </c>
      <c r="D281" s="72" t="s">
        <v>252</v>
      </c>
      <c r="E281" s="73">
        <v>-5000.0</v>
      </c>
    </row>
    <row r="282" ht="15.75" hidden="1" customHeight="1">
      <c r="A282" s="75">
        <v>46166.0</v>
      </c>
      <c r="B282" s="72" t="s">
        <v>153</v>
      </c>
      <c r="C282" s="72" t="s">
        <v>9</v>
      </c>
      <c r="D282" s="72" t="s">
        <v>154</v>
      </c>
      <c r="E282" s="73">
        <v>17.0</v>
      </c>
    </row>
    <row r="283" ht="15.75" hidden="1" customHeight="1">
      <c r="A283" s="75">
        <v>46166.0</v>
      </c>
      <c r="B283" s="72" t="s">
        <v>150</v>
      </c>
      <c r="C283" s="72" t="s">
        <v>131</v>
      </c>
      <c r="D283" s="72" t="s">
        <v>304</v>
      </c>
      <c r="E283" s="73">
        <v>-3400.0</v>
      </c>
    </row>
    <row r="284" ht="15.75" hidden="1" customHeight="1">
      <c r="A284" s="75">
        <v>46166.0</v>
      </c>
      <c r="B284" s="72" t="s">
        <v>153</v>
      </c>
      <c r="C284" s="72" t="s">
        <v>9</v>
      </c>
      <c r="D284" s="72" t="s">
        <v>154</v>
      </c>
      <c r="E284" s="73">
        <v>26.0</v>
      </c>
    </row>
    <row r="285" ht="15.75" hidden="1" customHeight="1">
      <c r="A285" s="75">
        <v>46166.0</v>
      </c>
      <c r="B285" s="72" t="s">
        <v>150</v>
      </c>
      <c r="C285" s="72" t="s">
        <v>124</v>
      </c>
      <c r="D285" s="72" t="s">
        <v>305</v>
      </c>
      <c r="E285" s="73">
        <v>-5360.0</v>
      </c>
    </row>
    <row r="286" ht="15.75" hidden="1" customHeight="1">
      <c r="A286" s="75">
        <v>46167.0</v>
      </c>
      <c r="B286" s="72" t="s">
        <v>166</v>
      </c>
      <c r="C286" s="72" t="s">
        <v>173</v>
      </c>
      <c r="D286" s="72" t="s">
        <v>154</v>
      </c>
      <c r="E286" s="73">
        <v>-1206.0</v>
      </c>
    </row>
    <row r="287" ht="15.75" hidden="1" customHeight="1">
      <c r="A287" s="75">
        <v>46167.0</v>
      </c>
      <c r="B287" s="72" t="s">
        <v>150</v>
      </c>
      <c r="C287" s="72" t="s">
        <v>124</v>
      </c>
      <c r="D287" s="72" t="s">
        <v>306</v>
      </c>
      <c r="E287" s="73">
        <v>120660.0</v>
      </c>
    </row>
    <row r="288" ht="15.75" hidden="1" customHeight="1">
      <c r="A288" s="75">
        <v>46167.0</v>
      </c>
      <c r="B288" s="72" t="s">
        <v>150</v>
      </c>
      <c r="C288" s="72" t="s">
        <v>124</v>
      </c>
      <c r="D288" s="72" t="s">
        <v>306</v>
      </c>
      <c r="E288" s="73">
        <v>1840.0</v>
      </c>
    </row>
    <row r="289" ht="15.75" hidden="1" customHeight="1">
      <c r="A289" s="75">
        <v>46167.0</v>
      </c>
      <c r="B289" s="72" t="s">
        <v>153</v>
      </c>
      <c r="C289" s="72" t="s">
        <v>9</v>
      </c>
      <c r="D289" s="72" t="s">
        <v>154</v>
      </c>
      <c r="E289" s="73">
        <v>1206.0</v>
      </c>
    </row>
    <row r="290" ht="15.75" hidden="1" customHeight="1">
      <c r="A290" s="75">
        <v>46167.0</v>
      </c>
      <c r="B290" s="72" t="s">
        <v>150</v>
      </c>
      <c r="C290" s="72" t="s">
        <v>124</v>
      </c>
      <c r="D290" s="72" t="s">
        <v>306</v>
      </c>
      <c r="E290" s="73">
        <v>-120660.0</v>
      </c>
    </row>
    <row r="291" ht="15.75" hidden="1" customHeight="1">
      <c r="A291" s="75">
        <v>46167.0</v>
      </c>
      <c r="B291" s="72" t="s">
        <v>150</v>
      </c>
      <c r="C291" s="72" t="s">
        <v>124</v>
      </c>
      <c r="D291" s="72" t="s">
        <v>306</v>
      </c>
      <c r="E291" s="73">
        <v>-1840.0</v>
      </c>
    </row>
    <row r="292" ht="15.75" hidden="1" customHeight="1">
      <c r="A292" s="75">
        <v>46167.0</v>
      </c>
      <c r="B292" s="72" t="s">
        <v>166</v>
      </c>
      <c r="C292" s="72" t="s">
        <v>179</v>
      </c>
      <c r="D292" s="72" t="s">
        <v>287</v>
      </c>
      <c r="E292" s="73">
        <v>-100000.0</v>
      </c>
    </row>
    <row r="293" ht="15.75" hidden="1" customHeight="1">
      <c r="A293" s="75">
        <v>46167.0</v>
      </c>
      <c r="B293" s="72" t="s">
        <v>166</v>
      </c>
      <c r="C293" s="72" t="s">
        <v>179</v>
      </c>
      <c r="D293" s="72" t="s">
        <v>248</v>
      </c>
      <c r="E293" s="73">
        <v>100000.0</v>
      </c>
    </row>
    <row r="294" ht="15.75" hidden="1" customHeight="1">
      <c r="A294" s="75">
        <v>46168.0</v>
      </c>
      <c r="B294" s="72" t="s">
        <v>150</v>
      </c>
      <c r="C294" s="72" t="s">
        <v>124</v>
      </c>
      <c r="D294" s="72" t="s">
        <v>307</v>
      </c>
      <c r="E294" s="73">
        <v>-16999.0</v>
      </c>
    </row>
    <row r="295" ht="15.75" hidden="1" customHeight="1">
      <c r="A295" s="75">
        <v>46168.0</v>
      </c>
      <c r="B295" s="72" t="s">
        <v>150</v>
      </c>
      <c r="C295" s="72" t="s">
        <v>128</v>
      </c>
      <c r="D295" s="72" t="s">
        <v>308</v>
      </c>
      <c r="E295" s="73">
        <v>-21390.0</v>
      </c>
    </row>
    <row r="296" ht="15.75" hidden="1" customHeight="1">
      <c r="A296" s="75">
        <v>46168.0</v>
      </c>
      <c r="B296" s="72" t="s">
        <v>166</v>
      </c>
      <c r="C296" s="72" t="s">
        <v>243</v>
      </c>
      <c r="D296" s="72" t="s">
        <v>309</v>
      </c>
      <c r="E296" s="73">
        <v>-559395.0</v>
      </c>
    </row>
    <row r="297" ht="15.75" hidden="1" customHeight="1">
      <c r="A297" s="75">
        <v>46168.0</v>
      </c>
      <c r="B297" s="72" t="s">
        <v>166</v>
      </c>
      <c r="C297" s="72" t="s">
        <v>243</v>
      </c>
      <c r="D297" s="72" t="s">
        <v>310</v>
      </c>
      <c r="E297" s="73">
        <v>-566900.0</v>
      </c>
    </row>
    <row r="298" ht="15.75" hidden="1" customHeight="1">
      <c r="A298" s="75">
        <v>46168.0</v>
      </c>
      <c r="B298" s="72" t="s">
        <v>150</v>
      </c>
      <c r="C298" s="72" t="s">
        <v>113</v>
      </c>
      <c r="D298" s="72" t="s">
        <v>311</v>
      </c>
      <c r="E298" s="73">
        <v>-25210.0</v>
      </c>
    </row>
    <row r="299" ht="15.75" hidden="1" customHeight="1">
      <c r="A299" s="75">
        <v>46168.0</v>
      </c>
      <c r="B299" s="72" t="s">
        <v>150</v>
      </c>
      <c r="C299" s="72" t="s">
        <v>117</v>
      </c>
      <c r="D299" s="72" t="s">
        <v>312</v>
      </c>
      <c r="E299" s="73">
        <v>-25000.0</v>
      </c>
    </row>
    <row r="300" ht="15.75" hidden="1" customHeight="1">
      <c r="A300" s="75">
        <v>46168.0</v>
      </c>
      <c r="B300" s="72" t="s">
        <v>150</v>
      </c>
      <c r="C300" s="72" t="s">
        <v>117</v>
      </c>
      <c r="D300" s="72" t="s">
        <v>313</v>
      </c>
      <c r="E300" s="73">
        <v>-20000.0</v>
      </c>
    </row>
    <row r="301" ht="15.75" hidden="1" customHeight="1">
      <c r="A301" s="75">
        <v>46168.0</v>
      </c>
      <c r="B301" s="72" t="s">
        <v>150</v>
      </c>
      <c r="C301" s="72" t="s">
        <v>117</v>
      </c>
      <c r="D301" s="72" t="s">
        <v>314</v>
      </c>
      <c r="E301" s="73">
        <v>-20000.0</v>
      </c>
    </row>
    <row r="302" ht="15.75" hidden="1" customHeight="1">
      <c r="A302" s="75">
        <v>46168.0</v>
      </c>
      <c r="B302" s="72" t="s">
        <v>166</v>
      </c>
      <c r="C302" s="72" t="s">
        <v>174</v>
      </c>
      <c r="D302" s="72" t="s">
        <v>217</v>
      </c>
      <c r="E302" s="73">
        <v>30000.0</v>
      </c>
    </row>
    <row r="303" ht="15.75" hidden="1" customHeight="1">
      <c r="A303" s="75">
        <v>46168.0</v>
      </c>
      <c r="B303" s="72" t="s">
        <v>150</v>
      </c>
      <c r="C303" s="72" t="s">
        <v>117</v>
      </c>
      <c r="D303" s="72" t="s">
        <v>315</v>
      </c>
      <c r="E303" s="73">
        <v>-30000.0</v>
      </c>
    </row>
    <row r="304" ht="15.75" hidden="1" customHeight="1">
      <c r="A304" s="75">
        <v>46168.0</v>
      </c>
      <c r="B304" s="72" t="s">
        <v>150</v>
      </c>
      <c r="C304" s="72" t="s">
        <v>117</v>
      </c>
      <c r="D304" s="72" t="s">
        <v>316</v>
      </c>
      <c r="E304" s="73">
        <v>-30000.0</v>
      </c>
    </row>
    <row r="305" ht="15.75" hidden="1" customHeight="1">
      <c r="A305" s="75">
        <v>46168.0</v>
      </c>
      <c r="B305" s="72" t="s">
        <v>166</v>
      </c>
      <c r="C305" s="72" t="s">
        <v>179</v>
      </c>
      <c r="D305" s="72" t="s">
        <v>186</v>
      </c>
      <c r="E305" s="73">
        <v>125000.0</v>
      </c>
    </row>
    <row r="306" ht="15.75" hidden="1" customHeight="1">
      <c r="A306" s="75">
        <v>46168.0</v>
      </c>
      <c r="B306" s="72" t="s">
        <v>166</v>
      </c>
      <c r="C306" s="72" t="s">
        <v>179</v>
      </c>
      <c r="D306" s="72" t="s">
        <v>186</v>
      </c>
      <c r="E306" s="73">
        <v>-125000.0</v>
      </c>
    </row>
    <row r="307" ht="15.75" hidden="1" customHeight="1">
      <c r="A307" s="75">
        <v>46168.0</v>
      </c>
      <c r="B307" s="72" t="s">
        <v>150</v>
      </c>
      <c r="C307" s="72" t="s">
        <v>118</v>
      </c>
      <c r="D307" s="72" t="s">
        <v>317</v>
      </c>
      <c r="E307" s="73">
        <v>-90000.0</v>
      </c>
    </row>
    <row r="308" ht="15.75" hidden="1" customHeight="1">
      <c r="A308" s="75">
        <v>46168.0</v>
      </c>
      <c r="B308" s="72" t="s">
        <v>166</v>
      </c>
      <c r="C308" s="72" t="s">
        <v>179</v>
      </c>
      <c r="D308" s="72" t="s">
        <v>318</v>
      </c>
      <c r="E308" s="73">
        <v>200000.0</v>
      </c>
    </row>
    <row r="309" ht="15.75" hidden="1" customHeight="1">
      <c r="A309" s="75">
        <v>46168.0</v>
      </c>
      <c r="B309" s="72" t="s">
        <v>150</v>
      </c>
      <c r="C309" s="72" t="s">
        <v>118</v>
      </c>
      <c r="D309" s="72" t="s">
        <v>318</v>
      </c>
      <c r="E309" s="73">
        <v>-200000.0</v>
      </c>
    </row>
    <row r="310" ht="15.75" hidden="1" customHeight="1">
      <c r="A310" s="75">
        <v>46168.0</v>
      </c>
      <c r="B310" s="72" t="s">
        <v>150</v>
      </c>
      <c r="C310" s="72" t="s">
        <v>118</v>
      </c>
      <c r="D310" s="72" t="s">
        <v>319</v>
      </c>
      <c r="E310" s="73">
        <v>-90000.0</v>
      </c>
    </row>
    <row r="311" ht="15.75" hidden="1" customHeight="1">
      <c r="A311" s="75">
        <v>46168.0</v>
      </c>
      <c r="B311" s="72" t="s">
        <v>153</v>
      </c>
      <c r="C311" s="72" t="s">
        <v>9</v>
      </c>
      <c r="D311" s="72" t="s">
        <v>154</v>
      </c>
      <c r="E311" s="73">
        <v>21.0</v>
      </c>
    </row>
    <row r="312" ht="15.75" hidden="1" customHeight="1">
      <c r="A312" s="75">
        <v>46168.0</v>
      </c>
      <c r="B312" s="72" t="s">
        <v>150</v>
      </c>
      <c r="C312" s="72" t="s">
        <v>130</v>
      </c>
      <c r="D312" s="72" t="s">
        <v>230</v>
      </c>
      <c r="E312" s="73">
        <v>-2100.0</v>
      </c>
    </row>
    <row r="313" ht="15.75" hidden="1" customHeight="1">
      <c r="A313" s="75">
        <v>46168.0</v>
      </c>
      <c r="B313" s="72" t="s">
        <v>166</v>
      </c>
      <c r="C313" s="72" t="s">
        <v>179</v>
      </c>
      <c r="D313" s="72" t="s">
        <v>180</v>
      </c>
      <c r="E313" s="73">
        <v>200000.0</v>
      </c>
    </row>
    <row r="314" ht="15.75" hidden="1" customHeight="1">
      <c r="A314" s="75">
        <v>46168.0</v>
      </c>
      <c r="B314" s="72" t="s">
        <v>166</v>
      </c>
      <c r="C314" s="72" t="s">
        <v>179</v>
      </c>
      <c r="D314" s="72" t="s">
        <v>320</v>
      </c>
      <c r="E314" s="73">
        <v>-200000.0</v>
      </c>
    </row>
    <row r="315" ht="15.75" hidden="1" customHeight="1">
      <c r="A315" s="75">
        <v>46168.0</v>
      </c>
      <c r="B315" s="72" t="s">
        <v>150</v>
      </c>
      <c r="C315" s="72" t="s">
        <v>117</v>
      </c>
      <c r="D315" s="72" t="s">
        <v>321</v>
      </c>
      <c r="E315" s="73">
        <v>-5500.0</v>
      </c>
    </row>
    <row r="316" ht="15.75" hidden="1" customHeight="1">
      <c r="A316" s="75">
        <v>46168.0</v>
      </c>
      <c r="B316" s="72" t="s">
        <v>166</v>
      </c>
      <c r="C316" s="72" t="s">
        <v>243</v>
      </c>
      <c r="D316" s="72" t="s">
        <v>322</v>
      </c>
      <c r="E316" s="73">
        <v>-110000.0</v>
      </c>
    </row>
    <row r="317" ht="15.75" hidden="1" customHeight="1">
      <c r="A317" s="75">
        <v>46168.0</v>
      </c>
      <c r="B317" s="72" t="s">
        <v>150</v>
      </c>
      <c r="C317" s="72" t="s">
        <v>113</v>
      </c>
      <c r="D317" s="72" t="s">
        <v>323</v>
      </c>
      <c r="E317" s="73">
        <v>-64180.0</v>
      </c>
    </row>
    <row r="318" ht="15.75" hidden="1" customHeight="1">
      <c r="A318" s="75">
        <v>46168.0</v>
      </c>
      <c r="B318" s="72" t="s">
        <v>153</v>
      </c>
      <c r="C318" s="72" t="s">
        <v>9</v>
      </c>
      <c r="D318" s="72" t="s">
        <v>154</v>
      </c>
      <c r="E318" s="73">
        <v>15.0</v>
      </c>
    </row>
    <row r="319" ht="15.75" hidden="1" customHeight="1">
      <c r="A319" s="75">
        <v>46168.0</v>
      </c>
      <c r="B319" s="72" t="s">
        <v>150</v>
      </c>
      <c r="C319" s="72" t="s">
        <v>122</v>
      </c>
      <c r="D319" s="72" t="s">
        <v>324</v>
      </c>
      <c r="E319" s="73">
        <v>-10000.0</v>
      </c>
    </row>
    <row r="320" ht="15.75" hidden="1" customHeight="1">
      <c r="A320" s="75">
        <v>46168.0</v>
      </c>
      <c r="B320" s="72" t="s">
        <v>153</v>
      </c>
      <c r="C320" s="72" t="s">
        <v>9</v>
      </c>
      <c r="D320" s="72" t="s">
        <v>154</v>
      </c>
      <c r="E320" s="73">
        <v>50.0</v>
      </c>
    </row>
    <row r="321" ht="15.75" hidden="1" customHeight="1">
      <c r="A321" s="75">
        <v>46168.0</v>
      </c>
      <c r="B321" s="72" t="s">
        <v>150</v>
      </c>
      <c r="C321" s="72" t="s">
        <v>122</v>
      </c>
      <c r="D321" s="72" t="s">
        <v>325</v>
      </c>
      <c r="E321" s="73">
        <v>-9700.0</v>
      </c>
    </row>
    <row r="322" ht="15.75" hidden="1" customHeight="1">
      <c r="A322" s="75">
        <v>46168.0</v>
      </c>
      <c r="B322" s="72" t="s">
        <v>153</v>
      </c>
      <c r="C322" s="72" t="s">
        <v>9</v>
      </c>
      <c r="D322" s="72" t="s">
        <v>154</v>
      </c>
      <c r="E322" s="73">
        <v>48.0</v>
      </c>
    </row>
    <row r="323" ht="15.75" hidden="1" customHeight="1">
      <c r="A323" s="75">
        <v>46168.0</v>
      </c>
      <c r="B323" s="72" t="s">
        <v>150</v>
      </c>
      <c r="C323" s="72" t="s">
        <v>122</v>
      </c>
      <c r="D323" s="72" t="s">
        <v>326</v>
      </c>
      <c r="E323" s="73">
        <v>-3000.0</v>
      </c>
    </row>
    <row r="324" ht="15.75" hidden="1" customHeight="1">
      <c r="A324" s="75">
        <v>46168.0</v>
      </c>
      <c r="B324" s="72" t="s">
        <v>166</v>
      </c>
      <c r="C324" s="72" t="s">
        <v>243</v>
      </c>
      <c r="D324" s="72" t="s">
        <v>327</v>
      </c>
      <c r="E324" s="73">
        <v>-20000.0</v>
      </c>
    </row>
    <row r="325" ht="15.75" hidden="1" customHeight="1">
      <c r="A325" s="75">
        <v>46168.0</v>
      </c>
      <c r="B325" s="72" t="s">
        <v>150</v>
      </c>
      <c r="C325" s="72" t="s">
        <v>113</v>
      </c>
      <c r="D325" s="72" t="s">
        <v>328</v>
      </c>
      <c r="E325" s="73">
        <v>-59427.0</v>
      </c>
    </row>
    <row r="326" ht="15.75" hidden="1" customHeight="1">
      <c r="A326" s="75">
        <v>46168.0</v>
      </c>
      <c r="B326" s="72" t="s">
        <v>166</v>
      </c>
      <c r="C326" s="72" t="s">
        <v>243</v>
      </c>
      <c r="D326" s="72" t="s">
        <v>329</v>
      </c>
      <c r="E326" s="73">
        <v>-408725.0</v>
      </c>
    </row>
    <row r="327" ht="15.75" hidden="1" customHeight="1">
      <c r="A327" s="75">
        <v>46169.0</v>
      </c>
      <c r="B327" s="72" t="s">
        <v>150</v>
      </c>
      <c r="C327" s="72" t="s">
        <v>129</v>
      </c>
      <c r="D327" s="72" t="s">
        <v>229</v>
      </c>
      <c r="E327" s="73">
        <v>-32900.0</v>
      </c>
    </row>
    <row r="328" ht="15.75" hidden="1" customHeight="1">
      <c r="A328" s="75">
        <v>46169.0</v>
      </c>
      <c r="B328" s="72" t="s">
        <v>166</v>
      </c>
      <c r="C328" s="72" t="s">
        <v>179</v>
      </c>
      <c r="D328" s="72">
        <v>1.7191036946221E13</v>
      </c>
      <c r="E328" s="73">
        <v>-100000.0</v>
      </c>
    </row>
    <row r="329" ht="15.75" hidden="1" customHeight="1">
      <c r="A329" s="75">
        <v>46169.0</v>
      </c>
      <c r="B329" s="72" t="s">
        <v>166</v>
      </c>
      <c r="C329" s="72" t="s">
        <v>179</v>
      </c>
      <c r="D329" s="72">
        <v>1.7191035325507E13</v>
      </c>
      <c r="E329" s="73">
        <v>100000.0</v>
      </c>
    </row>
    <row r="330" ht="15.75" hidden="1" customHeight="1">
      <c r="A330" s="75">
        <v>46169.0</v>
      </c>
      <c r="B330" s="72" t="s">
        <v>153</v>
      </c>
      <c r="C330" s="72" t="s">
        <v>9</v>
      </c>
      <c r="D330" s="72" t="s">
        <v>154</v>
      </c>
      <c r="E330" s="73">
        <v>160.0</v>
      </c>
    </row>
    <row r="331" ht="15.75" hidden="1" customHeight="1">
      <c r="A331" s="75">
        <v>46169.0</v>
      </c>
      <c r="B331" s="72" t="s">
        <v>150</v>
      </c>
      <c r="C331" s="72" t="s">
        <v>130</v>
      </c>
      <c r="D331" s="72" t="s">
        <v>330</v>
      </c>
      <c r="E331" s="73">
        <v>-32000.0</v>
      </c>
    </row>
    <row r="332" ht="15.75" hidden="1" customHeight="1">
      <c r="A332" s="75">
        <v>46169.0</v>
      </c>
      <c r="B332" s="72" t="s">
        <v>153</v>
      </c>
      <c r="C332" s="72" t="s">
        <v>9</v>
      </c>
      <c r="D332" s="72" t="s">
        <v>154</v>
      </c>
      <c r="E332" s="73">
        <v>21.0</v>
      </c>
    </row>
    <row r="333" ht="15.75" hidden="1" customHeight="1">
      <c r="A333" s="75">
        <v>46169.0</v>
      </c>
      <c r="B333" s="72" t="s">
        <v>150</v>
      </c>
      <c r="C333" s="72" t="s">
        <v>130</v>
      </c>
      <c r="D333" s="72" t="s">
        <v>230</v>
      </c>
      <c r="E333" s="73">
        <v>-2100.0</v>
      </c>
    </row>
    <row r="334" ht="15.75" hidden="1" customHeight="1">
      <c r="A334" s="75">
        <v>46169.0</v>
      </c>
      <c r="B334" s="72" t="s">
        <v>166</v>
      </c>
      <c r="C334" s="72" t="s">
        <v>166</v>
      </c>
      <c r="D334" s="72" t="s">
        <v>331</v>
      </c>
      <c r="E334" s="73">
        <v>-100000.0</v>
      </c>
    </row>
    <row r="335" ht="15.75" hidden="1" customHeight="1">
      <c r="A335" s="75">
        <v>46169.0</v>
      </c>
      <c r="B335" s="72" t="s">
        <v>166</v>
      </c>
      <c r="C335" s="72" t="s">
        <v>166</v>
      </c>
      <c r="D335" s="72" t="s">
        <v>332</v>
      </c>
      <c r="E335" s="73">
        <v>-100000.0</v>
      </c>
    </row>
    <row r="336" ht="15.75" hidden="1" customHeight="1">
      <c r="A336" s="75">
        <v>46169.0</v>
      </c>
      <c r="B336" s="72" t="s">
        <v>153</v>
      </c>
      <c r="C336" s="72" t="s">
        <v>9</v>
      </c>
      <c r="D336" s="72" t="s">
        <v>154</v>
      </c>
      <c r="E336" s="73">
        <v>27.0</v>
      </c>
    </row>
    <row r="337" ht="15.75" hidden="1" customHeight="1">
      <c r="A337" s="75">
        <v>46169.0</v>
      </c>
      <c r="B337" s="72" t="s">
        <v>150</v>
      </c>
      <c r="C337" s="72" t="s">
        <v>122</v>
      </c>
      <c r="D337" s="72" t="s">
        <v>165</v>
      </c>
      <c r="E337" s="73">
        <v>-5480.0</v>
      </c>
    </row>
    <row r="338" ht="15.75" hidden="1" customHeight="1">
      <c r="A338" s="75">
        <v>46170.0</v>
      </c>
      <c r="B338" s="72" t="s">
        <v>166</v>
      </c>
      <c r="C338" s="72" t="s">
        <v>179</v>
      </c>
      <c r="D338" s="72" t="s">
        <v>186</v>
      </c>
      <c r="E338" s="73">
        <v>-50000.0</v>
      </c>
    </row>
    <row r="339" ht="15.75" hidden="1" customHeight="1">
      <c r="A339" s="75">
        <v>46170.0</v>
      </c>
      <c r="B339" s="72" t="s">
        <v>166</v>
      </c>
      <c r="C339" s="72" t="s">
        <v>179</v>
      </c>
      <c r="D339" s="72" t="s">
        <v>186</v>
      </c>
      <c r="E339" s="73">
        <v>50000.0</v>
      </c>
    </row>
    <row r="340" ht="15.75" hidden="1" customHeight="1">
      <c r="A340" s="75">
        <v>46170.0</v>
      </c>
      <c r="B340" s="72" t="s">
        <v>153</v>
      </c>
      <c r="C340" s="72" t="s">
        <v>9</v>
      </c>
      <c r="D340" s="72" t="s">
        <v>154</v>
      </c>
      <c r="E340" s="73">
        <v>23.0</v>
      </c>
    </row>
    <row r="341" ht="15.75" hidden="1" customHeight="1">
      <c r="A341" s="75">
        <v>46170.0</v>
      </c>
      <c r="B341" s="72" t="s">
        <v>150</v>
      </c>
      <c r="C341" s="72" t="s">
        <v>122</v>
      </c>
      <c r="D341" s="72" t="s">
        <v>333</v>
      </c>
      <c r="E341" s="73">
        <v>-42370.0</v>
      </c>
    </row>
    <row r="342" ht="15.75" hidden="1" customHeight="1">
      <c r="A342" s="75">
        <v>46170.0</v>
      </c>
      <c r="B342" s="72" t="s">
        <v>150</v>
      </c>
      <c r="C342" s="72" t="s">
        <v>122</v>
      </c>
      <c r="D342" s="72" t="s">
        <v>334</v>
      </c>
      <c r="E342" s="73">
        <v>-13500.0</v>
      </c>
    </row>
    <row r="343" ht="15.75" hidden="1" customHeight="1">
      <c r="A343" s="75">
        <v>46170.0</v>
      </c>
      <c r="B343" s="72" t="s">
        <v>166</v>
      </c>
      <c r="C343" s="72" t="s">
        <v>179</v>
      </c>
      <c r="D343" s="72" t="s">
        <v>216</v>
      </c>
      <c r="E343" s="73">
        <v>-30000.0</v>
      </c>
    </row>
    <row r="344" ht="15.75" hidden="1" customHeight="1">
      <c r="A344" s="75">
        <v>46170.0</v>
      </c>
      <c r="B344" s="72" t="s">
        <v>166</v>
      </c>
      <c r="C344" s="72" t="s">
        <v>179</v>
      </c>
      <c r="D344" s="72" t="s">
        <v>217</v>
      </c>
      <c r="E344" s="73">
        <v>30000.0</v>
      </c>
    </row>
    <row r="345" ht="15.75" hidden="1" customHeight="1">
      <c r="A345" s="75">
        <v>46170.0</v>
      </c>
      <c r="B345" s="72" t="s">
        <v>150</v>
      </c>
      <c r="C345" s="72" t="s">
        <v>124</v>
      </c>
      <c r="D345" s="72" t="s">
        <v>335</v>
      </c>
      <c r="E345" s="73">
        <v>-9880.0</v>
      </c>
    </row>
    <row r="346" ht="15.75" hidden="1" customHeight="1">
      <c r="A346" s="75">
        <v>46170.0</v>
      </c>
      <c r="B346" s="72" t="s">
        <v>166</v>
      </c>
      <c r="C346" s="72" t="s">
        <v>166</v>
      </c>
      <c r="D346" s="72" t="s">
        <v>167</v>
      </c>
      <c r="E346" s="73">
        <v>30000.0</v>
      </c>
    </row>
    <row r="347" ht="15.75" hidden="1" customHeight="1">
      <c r="A347" s="75">
        <v>46170.0</v>
      </c>
      <c r="B347" s="72" t="s">
        <v>166</v>
      </c>
      <c r="C347" s="72" t="s">
        <v>179</v>
      </c>
      <c r="D347" s="72" t="s">
        <v>186</v>
      </c>
      <c r="E347" s="73">
        <v>-180000.0</v>
      </c>
    </row>
    <row r="348" ht="15.75" hidden="1" customHeight="1">
      <c r="A348" s="75">
        <v>46170.0</v>
      </c>
      <c r="B348" s="72" t="s">
        <v>150</v>
      </c>
      <c r="C348" s="72" t="s">
        <v>122</v>
      </c>
      <c r="D348" s="72" t="s">
        <v>336</v>
      </c>
      <c r="E348" s="73">
        <v>-4600.0</v>
      </c>
    </row>
    <row r="349" ht="15.75" hidden="1" customHeight="1">
      <c r="A349" s="75">
        <v>46170.0</v>
      </c>
      <c r="B349" s="72" t="s">
        <v>150</v>
      </c>
      <c r="C349" s="72" t="s">
        <v>122</v>
      </c>
      <c r="D349" s="72" t="s">
        <v>333</v>
      </c>
      <c r="E349" s="73">
        <v>-4000.0</v>
      </c>
    </row>
    <row r="350" ht="15.75" hidden="1" customHeight="1">
      <c r="A350" s="75">
        <v>46170.0</v>
      </c>
      <c r="B350" s="72" t="s">
        <v>166</v>
      </c>
      <c r="C350" s="72" t="s">
        <v>179</v>
      </c>
      <c r="D350" s="72" t="s">
        <v>186</v>
      </c>
      <c r="E350" s="73">
        <v>180000.0</v>
      </c>
    </row>
    <row r="351" ht="15.75" hidden="1" customHeight="1">
      <c r="A351" s="75">
        <v>46170.0</v>
      </c>
      <c r="B351" s="72" t="s">
        <v>153</v>
      </c>
      <c r="C351" s="72" t="s">
        <v>9</v>
      </c>
      <c r="D351" s="72" t="s">
        <v>154</v>
      </c>
      <c r="E351" s="73">
        <v>14.0</v>
      </c>
    </row>
    <row r="352" ht="15.75" hidden="1" customHeight="1">
      <c r="A352" s="75">
        <v>46170.0</v>
      </c>
      <c r="B352" s="72" t="s">
        <v>150</v>
      </c>
      <c r="C352" s="72" t="s">
        <v>126</v>
      </c>
      <c r="D352" s="72" t="s">
        <v>213</v>
      </c>
      <c r="E352" s="73">
        <v>-2800.0</v>
      </c>
    </row>
    <row r="353" ht="15.75" hidden="1" customHeight="1">
      <c r="A353" s="75">
        <v>46170.0</v>
      </c>
      <c r="B353" s="72" t="s">
        <v>153</v>
      </c>
      <c r="C353" s="72" t="s">
        <v>9</v>
      </c>
      <c r="D353" s="72" t="s">
        <v>337</v>
      </c>
      <c r="E353" s="73">
        <v>291.0</v>
      </c>
    </row>
    <row r="354" ht="15.75" hidden="1" customHeight="1">
      <c r="A354" s="75">
        <v>46170.0</v>
      </c>
      <c r="B354" s="72" t="s">
        <v>150</v>
      </c>
      <c r="C354" s="72" t="s">
        <v>126</v>
      </c>
      <c r="D354" s="72" t="s">
        <v>338</v>
      </c>
      <c r="E354" s="73">
        <v>-61900.0</v>
      </c>
      <c r="F354" s="76" t="s">
        <v>208</v>
      </c>
    </row>
    <row r="355" ht="15.75" hidden="1" customHeight="1">
      <c r="A355" s="75">
        <v>46171.0</v>
      </c>
      <c r="B355" s="72" t="s">
        <v>166</v>
      </c>
      <c r="C355" s="72" t="s">
        <v>179</v>
      </c>
      <c r="D355" s="72" t="s">
        <v>186</v>
      </c>
      <c r="E355" s="73">
        <v>-20000.0</v>
      </c>
    </row>
    <row r="356" ht="15.75" hidden="1" customHeight="1">
      <c r="A356" s="75">
        <v>46171.0</v>
      </c>
      <c r="B356" s="72" t="s">
        <v>166</v>
      </c>
      <c r="C356" s="72" t="s">
        <v>179</v>
      </c>
      <c r="D356" s="72" t="s">
        <v>186</v>
      </c>
      <c r="E356" s="73">
        <v>-20000.0</v>
      </c>
    </row>
    <row r="357" ht="15.75" hidden="1" customHeight="1">
      <c r="A357" s="75">
        <v>46171.0</v>
      </c>
      <c r="B357" s="72" t="s">
        <v>166</v>
      </c>
      <c r="C357" s="72" t="s">
        <v>179</v>
      </c>
      <c r="D357" s="72" t="s">
        <v>186</v>
      </c>
      <c r="E357" s="73">
        <v>-113960.0</v>
      </c>
    </row>
    <row r="358" ht="15.75" hidden="1" customHeight="1">
      <c r="A358" s="75">
        <v>46171.0</v>
      </c>
      <c r="B358" s="72" t="s">
        <v>153</v>
      </c>
      <c r="C358" s="72" t="s">
        <v>9</v>
      </c>
      <c r="D358" s="72" t="s">
        <v>339</v>
      </c>
      <c r="E358" s="73">
        <v>19300.0</v>
      </c>
    </row>
    <row r="359" ht="15.75" hidden="1" customHeight="1">
      <c r="A359" s="75">
        <v>46171.0</v>
      </c>
      <c r="B359" s="72" t="s">
        <v>153</v>
      </c>
      <c r="C359" s="72" t="s">
        <v>9</v>
      </c>
      <c r="D359" s="72" t="s">
        <v>340</v>
      </c>
      <c r="E359" s="73">
        <v>47330.0</v>
      </c>
    </row>
    <row r="360" ht="15.75" hidden="1" customHeight="1">
      <c r="A360" s="75">
        <v>46171.0</v>
      </c>
      <c r="B360" s="72" t="s">
        <v>153</v>
      </c>
      <c r="C360" s="72" t="s">
        <v>9</v>
      </c>
      <c r="D360" s="72" t="s">
        <v>341</v>
      </c>
      <c r="E360" s="73">
        <v>47330.0</v>
      </c>
    </row>
    <row r="361" ht="15.75" hidden="1" customHeight="1">
      <c r="A361" s="75">
        <v>46171.0</v>
      </c>
      <c r="B361" s="72" t="s">
        <v>153</v>
      </c>
      <c r="C361" s="72" t="s">
        <v>9</v>
      </c>
      <c r="D361" s="72" t="s">
        <v>185</v>
      </c>
      <c r="E361" s="73">
        <v>250.0</v>
      </c>
    </row>
    <row r="362" ht="15.75" hidden="1" customHeight="1">
      <c r="A362" s="75">
        <v>46171.0</v>
      </c>
      <c r="B362" s="72" t="s">
        <v>153</v>
      </c>
      <c r="C362" s="72" t="s">
        <v>9</v>
      </c>
      <c r="D362" s="72" t="s">
        <v>154</v>
      </c>
      <c r="E362" s="73">
        <v>5.0</v>
      </c>
    </row>
    <row r="363" ht="15.75" hidden="1" customHeight="1">
      <c r="A363" s="75">
        <v>46171.0</v>
      </c>
      <c r="B363" s="72" t="s">
        <v>150</v>
      </c>
      <c r="C363" s="72" t="s">
        <v>130</v>
      </c>
      <c r="D363" s="72" t="s">
        <v>230</v>
      </c>
      <c r="E363" s="73">
        <v>-500.0</v>
      </c>
    </row>
    <row r="364" ht="15.75" hidden="1" customHeight="1">
      <c r="A364" s="75">
        <v>46171.0</v>
      </c>
      <c r="B364" s="72" t="s">
        <v>150</v>
      </c>
      <c r="C364" s="72" t="s">
        <v>122</v>
      </c>
      <c r="D364" s="72" t="s">
        <v>219</v>
      </c>
      <c r="E364" s="73">
        <v>-6980.0</v>
      </c>
    </row>
    <row r="365" ht="15.75" hidden="1" customHeight="1">
      <c r="A365" s="75">
        <v>46171.0</v>
      </c>
      <c r="B365" s="72" t="s">
        <v>150</v>
      </c>
      <c r="C365" s="72" t="s">
        <v>122</v>
      </c>
      <c r="D365" s="72" t="s">
        <v>158</v>
      </c>
      <c r="E365" s="73">
        <v>-3100.0</v>
      </c>
    </row>
    <row r="366" ht="15.75" hidden="1" customHeight="1">
      <c r="A366" s="75">
        <v>46171.0</v>
      </c>
      <c r="B366" s="72" t="s">
        <v>153</v>
      </c>
      <c r="C366" s="72" t="s">
        <v>9</v>
      </c>
      <c r="D366" s="72" t="s">
        <v>154</v>
      </c>
      <c r="E366" s="73">
        <v>10.0</v>
      </c>
    </row>
    <row r="367" ht="15.75" hidden="1" customHeight="1">
      <c r="A367" s="75">
        <v>46171.0</v>
      </c>
      <c r="B367" s="72" t="s">
        <v>150</v>
      </c>
      <c r="C367" s="72" t="s">
        <v>122</v>
      </c>
      <c r="D367" s="72" t="s">
        <v>342</v>
      </c>
      <c r="E367" s="73">
        <v>-2000.0</v>
      </c>
    </row>
    <row r="368" ht="15.75" hidden="1" customHeight="1">
      <c r="A368" s="75">
        <v>46172.0</v>
      </c>
      <c r="B368" s="72" t="s">
        <v>166</v>
      </c>
      <c r="C368" s="72" t="s">
        <v>179</v>
      </c>
      <c r="D368" s="72" t="s">
        <v>186</v>
      </c>
      <c r="E368" s="73">
        <v>-100000.0</v>
      </c>
    </row>
    <row r="369" ht="15.75" hidden="1" customHeight="1">
      <c r="A369" s="75">
        <v>46172.0</v>
      </c>
      <c r="B369" s="72" t="s">
        <v>150</v>
      </c>
      <c r="C369" s="72" t="s">
        <v>119</v>
      </c>
      <c r="D369" s="72" t="s">
        <v>256</v>
      </c>
      <c r="E369" s="73">
        <v>-5985.0</v>
      </c>
    </row>
    <row r="370" ht="15.75" hidden="1" customHeight="1">
      <c r="A370" s="75">
        <v>46172.0</v>
      </c>
      <c r="B370" s="72" t="s">
        <v>150</v>
      </c>
      <c r="C370" s="72" t="s">
        <v>122</v>
      </c>
      <c r="D370" s="72" t="s">
        <v>333</v>
      </c>
      <c r="E370" s="73">
        <v>-63960.0</v>
      </c>
    </row>
    <row r="371" ht="15.75" hidden="1" customHeight="1">
      <c r="A371" s="75">
        <v>46172.0</v>
      </c>
      <c r="B371" s="72" t="s">
        <v>150</v>
      </c>
      <c r="C371" s="72" t="s">
        <v>122</v>
      </c>
      <c r="D371" s="72" t="s">
        <v>343</v>
      </c>
      <c r="E371" s="73">
        <v>-29000.0</v>
      </c>
    </row>
    <row r="372" ht="15.75" hidden="1" customHeight="1">
      <c r="A372" s="75">
        <v>46172.0</v>
      </c>
      <c r="B372" s="72" t="s">
        <v>166</v>
      </c>
      <c r="C372" s="72" t="s">
        <v>179</v>
      </c>
      <c r="D372" s="72" t="s">
        <v>186</v>
      </c>
      <c r="E372" s="73">
        <v>200000.0</v>
      </c>
    </row>
    <row r="373" ht="15.75" hidden="1" customHeight="1">
      <c r="A373" s="75">
        <v>46172.0</v>
      </c>
      <c r="B373" s="72" t="s">
        <v>153</v>
      </c>
      <c r="C373" s="72" t="s">
        <v>9</v>
      </c>
      <c r="D373" s="72" t="s">
        <v>154</v>
      </c>
      <c r="E373" s="73">
        <v>145.0</v>
      </c>
    </row>
    <row r="374" ht="15.75" hidden="1" customHeight="1">
      <c r="A374" s="75">
        <v>46172.0</v>
      </c>
      <c r="B374" s="72" t="s">
        <v>150</v>
      </c>
      <c r="C374" s="72" t="s">
        <v>122</v>
      </c>
      <c r="D374" s="72" t="s">
        <v>333</v>
      </c>
      <c r="E374" s="73">
        <v>-21000.0</v>
      </c>
    </row>
    <row r="375" ht="15.75" hidden="1" customHeight="1">
      <c r="A375" s="75">
        <v>46172.0</v>
      </c>
      <c r="B375" s="72" t="s">
        <v>150</v>
      </c>
      <c r="C375" s="72" t="s">
        <v>122</v>
      </c>
      <c r="D375" s="72" t="s">
        <v>168</v>
      </c>
      <c r="E375" s="73">
        <v>-10000.0</v>
      </c>
    </row>
    <row r="376" ht="15.75" hidden="1" customHeight="1">
      <c r="A376" s="75">
        <v>46172.0</v>
      </c>
      <c r="B376" s="72" t="s">
        <v>150</v>
      </c>
      <c r="C376" s="72" t="s">
        <v>119</v>
      </c>
      <c r="D376" s="72" t="s">
        <v>344</v>
      </c>
      <c r="E376" s="73">
        <v>-27000.0</v>
      </c>
    </row>
    <row r="377" ht="15.75" hidden="1" customHeight="1">
      <c r="A377" s="75">
        <v>46173.0</v>
      </c>
      <c r="B377" s="72" t="s">
        <v>150</v>
      </c>
      <c r="C377" s="72" t="s">
        <v>122</v>
      </c>
      <c r="D377" s="72" t="s">
        <v>345</v>
      </c>
      <c r="E377" s="73">
        <v>-6700.0</v>
      </c>
    </row>
    <row r="378" ht="15.75" hidden="1" customHeight="1">
      <c r="A378" s="75">
        <v>46173.0</v>
      </c>
      <c r="B378" s="72" t="s">
        <v>153</v>
      </c>
      <c r="C378" s="72" t="s">
        <v>9</v>
      </c>
      <c r="D378" s="72" t="s">
        <v>154</v>
      </c>
      <c r="E378" s="73">
        <v>15.0</v>
      </c>
    </row>
    <row r="379" ht="15.75" hidden="1" customHeight="1">
      <c r="A379" s="75">
        <v>46173.0</v>
      </c>
      <c r="B379" s="72" t="s">
        <v>150</v>
      </c>
      <c r="C379" s="72" t="s">
        <v>122</v>
      </c>
      <c r="D379" s="72" t="s">
        <v>242</v>
      </c>
      <c r="E379" s="73">
        <v>-3200.0</v>
      </c>
    </row>
    <row r="380" ht="15.75" hidden="1" customHeight="1">
      <c r="A380" s="75">
        <v>46173.0</v>
      </c>
      <c r="B380" s="72" t="s">
        <v>166</v>
      </c>
      <c r="C380" s="72" t="s">
        <v>179</v>
      </c>
      <c r="D380" s="72" t="s">
        <v>186</v>
      </c>
      <c r="E380" s="73">
        <v>20000.0</v>
      </c>
    </row>
    <row r="381" ht="15.75" hidden="1" customHeight="1">
      <c r="A381" s="75">
        <v>46173.0</v>
      </c>
      <c r="B381" s="72" t="s">
        <v>166</v>
      </c>
      <c r="C381" s="72" t="s">
        <v>179</v>
      </c>
      <c r="D381" s="72" t="s">
        <v>186</v>
      </c>
      <c r="E381" s="73">
        <v>-20000.0</v>
      </c>
    </row>
    <row r="382" ht="15.75" hidden="1" customHeight="1">
      <c r="A382" s="75">
        <v>46173.0</v>
      </c>
      <c r="B382" s="72" t="s">
        <v>153</v>
      </c>
      <c r="C382" s="72" t="s">
        <v>9</v>
      </c>
      <c r="D382" s="72" t="s">
        <v>154</v>
      </c>
      <c r="E382" s="73">
        <v>16.0</v>
      </c>
    </row>
    <row r="383" ht="15.75" hidden="1" customHeight="1">
      <c r="A383" s="75">
        <v>46173.0</v>
      </c>
      <c r="B383" s="72" t="s">
        <v>150</v>
      </c>
      <c r="C383" s="72" t="s">
        <v>122</v>
      </c>
      <c r="D383" s="72" t="s">
        <v>165</v>
      </c>
      <c r="E383" s="73">
        <v>-3200.0</v>
      </c>
    </row>
    <row r="384" ht="15.75" hidden="1" customHeight="1">
      <c r="A384" s="75">
        <v>46173.0</v>
      </c>
      <c r="B384" s="72" t="s">
        <v>153</v>
      </c>
      <c r="C384" s="72" t="s">
        <v>9</v>
      </c>
      <c r="D384" s="72" t="s">
        <v>154</v>
      </c>
      <c r="E384" s="73">
        <v>10.0</v>
      </c>
    </row>
    <row r="385" ht="15.75" hidden="1" customHeight="1">
      <c r="A385" s="75">
        <v>46173.0</v>
      </c>
      <c r="B385" s="72" t="s">
        <v>150</v>
      </c>
      <c r="C385" s="72" t="s">
        <v>122</v>
      </c>
      <c r="D385" s="72" t="s">
        <v>252</v>
      </c>
      <c r="E385" s="73">
        <v>-3000.0</v>
      </c>
    </row>
    <row r="386" ht="15.75" hidden="1" customHeight="1">
      <c r="A386" s="75">
        <v>46173.0</v>
      </c>
      <c r="B386" s="72" t="s">
        <v>150</v>
      </c>
      <c r="C386" s="72" t="s">
        <v>122</v>
      </c>
      <c r="D386" s="72" t="s">
        <v>294</v>
      </c>
      <c r="E386" s="73">
        <v>-2100.0</v>
      </c>
    </row>
    <row r="387" ht="15.75" hidden="1" customHeight="1">
      <c r="A387" s="75">
        <v>46174.0</v>
      </c>
      <c r="B387" s="72" t="s">
        <v>153</v>
      </c>
      <c r="C387" s="72" t="s">
        <v>9</v>
      </c>
      <c r="D387" s="72" t="s">
        <v>162</v>
      </c>
      <c r="E387" s="73">
        <v>23.0</v>
      </c>
    </row>
    <row r="388" ht="15.75" hidden="1" customHeight="1">
      <c r="A388" s="75">
        <v>46174.0</v>
      </c>
      <c r="B388" s="72" t="s">
        <v>153</v>
      </c>
      <c r="C388" s="72" t="s">
        <v>4</v>
      </c>
      <c r="D388" s="72" t="s">
        <v>190</v>
      </c>
      <c r="E388" s="73">
        <v>3667600.0</v>
      </c>
    </row>
    <row r="389" ht="15.75" hidden="1" customHeight="1">
      <c r="A389" s="75">
        <v>46174.0</v>
      </c>
      <c r="B389" s="72" t="s">
        <v>150</v>
      </c>
      <c r="C389" s="72" t="s">
        <v>126</v>
      </c>
      <c r="D389" s="72" t="s">
        <v>214</v>
      </c>
      <c r="E389" s="73">
        <v>-10900.0</v>
      </c>
    </row>
    <row r="390" ht="15.75" hidden="1" customHeight="1">
      <c r="A390" s="75">
        <v>46174.0</v>
      </c>
      <c r="B390" s="72" t="s">
        <v>153</v>
      </c>
      <c r="C390" s="72" t="s">
        <v>9</v>
      </c>
      <c r="D390" s="72" t="s">
        <v>154</v>
      </c>
      <c r="E390" s="73">
        <v>54.0</v>
      </c>
    </row>
    <row r="391" ht="15.75" hidden="1" customHeight="1">
      <c r="A391" s="75">
        <v>46174.0</v>
      </c>
      <c r="B391" s="72" t="s">
        <v>166</v>
      </c>
      <c r="C391" s="72" t="s">
        <v>179</v>
      </c>
      <c r="D391" s="72" t="s">
        <v>186</v>
      </c>
      <c r="E391" s="73">
        <v>-3667600.0</v>
      </c>
    </row>
    <row r="392" ht="15.75" hidden="1" customHeight="1">
      <c r="A392" s="75">
        <v>46174.0</v>
      </c>
      <c r="B392" s="72" t="s">
        <v>166</v>
      </c>
      <c r="C392" s="72" t="s">
        <v>179</v>
      </c>
      <c r="D392" s="72" t="s">
        <v>187</v>
      </c>
      <c r="E392" s="73">
        <v>3667600.0</v>
      </c>
    </row>
    <row r="393" ht="15.75" hidden="1" customHeight="1">
      <c r="A393" s="75">
        <v>46174.0</v>
      </c>
      <c r="B393" s="72" t="s">
        <v>166</v>
      </c>
      <c r="C393" s="72" t="s">
        <v>179</v>
      </c>
      <c r="D393" s="72" t="s">
        <v>186</v>
      </c>
      <c r="E393" s="73">
        <v>20000.0</v>
      </c>
    </row>
    <row r="394" ht="15.75" hidden="1" customHeight="1">
      <c r="A394" s="75">
        <v>46174.0</v>
      </c>
      <c r="B394" s="72" t="s">
        <v>166</v>
      </c>
      <c r="C394" s="72" t="s">
        <v>179</v>
      </c>
      <c r="D394" s="72" t="s">
        <v>186</v>
      </c>
      <c r="E394" s="73">
        <v>-20000.0</v>
      </c>
    </row>
    <row r="395" ht="15.75" hidden="1" customHeight="1">
      <c r="A395" s="75">
        <v>46174.0</v>
      </c>
      <c r="B395" s="72" t="s">
        <v>166</v>
      </c>
      <c r="C395" s="72" t="s">
        <v>179</v>
      </c>
      <c r="D395" s="72" t="s">
        <v>186</v>
      </c>
      <c r="E395" s="73">
        <v>-100000.0</v>
      </c>
    </row>
    <row r="396" ht="15.75" hidden="1" customHeight="1">
      <c r="A396" s="75">
        <v>46174.0</v>
      </c>
      <c r="B396" s="72" t="s">
        <v>166</v>
      </c>
      <c r="C396" s="72" t="s">
        <v>179</v>
      </c>
      <c r="D396" s="72" t="s">
        <v>186</v>
      </c>
      <c r="E396" s="73">
        <v>100000.0</v>
      </c>
    </row>
    <row r="397" ht="15.75" hidden="1" customHeight="1">
      <c r="A397" s="75">
        <v>46174.0</v>
      </c>
      <c r="B397" s="72" t="s">
        <v>166</v>
      </c>
      <c r="C397" s="72" t="s">
        <v>179</v>
      </c>
      <c r="D397" s="72" t="s">
        <v>186</v>
      </c>
      <c r="E397" s="73">
        <v>-3500000.0</v>
      </c>
    </row>
    <row r="398" ht="15.75" hidden="1" customHeight="1">
      <c r="A398" s="75">
        <v>46174.0</v>
      </c>
      <c r="B398" s="72" t="s">
        <v>150</v>
      </c>
      <c r="C398" s="72" t="s">
        <v>118</v>
      </c>
      <c r="D398" s="72" t="s">
        <v>346</v>
      </c>
      <c r="E398" s="73">
        <v>-20000.0</v>
      </c>
    </row>
    <row r="399" ht="15.75" hidden="1" customHeight="1">
      <c r="A399" s="75">
        <v>46174.0</v>
      </c>
      <c r="B399" s="72" t="s">
        <v>166</v>
      </c>
      <c r="C399" s="72" t="s">
        <v>179</v>
      </c>
      <c r="D399" s="72" t="s">
        <v>180</v>
      </c>
      <c r="E399" s="73">
        <v>20000.0</v>
      </c>
    </row>
    <row r="400" ht="15.75" hidden="1" customHeight="1">
      <c r="A400" s="75">
        <v>46174.0</v>
      </c>
      <c r="B400" s="72" t="s">
        <v>150</v>
      </c>
      <c r="C400" s="72" t="s">
        <v>122</v>
      </c>
      <c r="D400" s="72" t="s">
        <v>347</v>
      </c>
      <c r="E400" s="73">
        <v>-11999.0</v>
      </c>
    </row>
    <row r="401" ht="15.75" hidden="1" customHeight="1">
      <c r="A401" s="75">
        <v>46174.0</v>
      </c>
      <c r="B401" s="72" t="s">
        <v>150</v>
      </c>
      <c r="C401" s="72" t="s">
        <v>128</v>
      </c>
      <c r="D401" s="72" t="s">
        <v>348</v>
      </c>
      <c r="E401" s="73">
        <v>-28310.0</v>
      </c>
    </row>
    <row r="402" ht="15.75" hidden="1" customHeight="1">
      <c r="A402" s="75">
        <v>46174.0</v>
      </c>
      <c r="B402" s="72" t="s">
        <v>150</v>
      </c>
      <c r="C402" s="72" t="s">
        <v>117</v>
      </c>
      <c r="D402" s="72" t="s">
        <v>349</v>
      </c>
      <c r="E402" s="73">
        <v>-30000.0</v>
      </c>
    </row>
    <row r="403" ht="15.75" hidden="1" customHeight="1">
      <c r="A403" s="75">
        <v>46174.0</v>
      </c>
      <c r="B403" s="72" t="s">
        <v>166</v>
      </c>
      <c r="C403" s="72" t="s">
        <v>179</v>
      </c>
      <c r="D403" s="72" t="s">
        <v>248</v>
      </c>
      <c r="E403" s="73">
        <v>50000.0</v>
      </c>
    </row>
    <row r="404" ht="15.75" hidden="1" customHeight="1">
      <c r="A404" s="75">
        <v>46174.0</v>
      </c>
      <c r="B404" s="72" t="s">
        <v>166</v>
      </c>
      <c r="C404" s="72" t="s">
        <v>179</v>
      </c>
      <c r="D404" s="72" t="s">
        <v>248</v>
      </c>
      <c r="E404" s="73">
        <v>-50000.0</v>
      </c>
    </row>
    <row r="405" ht="15.75" hidden="1" customHeight="1">
      <c r="A405" s="75">
        <v>46174.0</v>
      </c>
      <c r="B405" s="72" t="s">
        <v>166</v>
      </c>
      <c r="C405" s="72" t="s">
        <v>179</v>
      </c>
      <c r="D405" s="72" t="s">
        <v>248</v>
      </c>
      <c r="E405" s="73">
        <v>30000.0</v>
      </c>
    </row>
    <row r="406" ht="15.75" hidden="1" customHeight="1">
      <c r="A406" s="75">
        <v>46174.0</v>
      </c>
      <c r="B406" s="72" t="s">
        <v>166</v>
      </c>
      <c r="C406" s="72" t="s">
        <v>179</v>
      </c>
      <c r="D406" s="72" t="s">
        <v>217</v>
      </c>
      <c r="E406" s="73">
        <v>30000.0</v>
      </c>
    </row>
    <row r="407" ht="15.75" hidden="1" customHeight="1">
      <c r="A407" s="75">
        <v>46174.0</v>
      </c>
      <c r="B407" s="72" t="s">
        <v>166</v>
      </c>
      <c r="C407" s="72" t="s">
        <v>179</v>
      </c>
      <c r="D407" s="72" t="s">
        <v>216</v>
      </c>
      <c r="E407" s="73">
        <v>-30000.0</v>
      </c>
    </row>
    <row r="408" ht="15.75" hidden="1" customHeight="1">
      <c r="A408" s="75">
        <v>46174.0</v>
      </c>
      <c r="B408" s="72" t="s">
        <v>166</v>
      </c>
      <c r="C408" s="72" t="s">
        <v>161</v>
      </c>
      <c r="D408" s="72" t="s">
        <v>350</v>
      </c>
      <c r="E408" s="73">
        <v>125.0</v>
      </c>
    </row>
    <row r="409" ht="15.75" hidden="1" customHeight="1">
      <c r="A409" s="75">
        <v>46174.0</v>
      </c>
      <c r="B409" s="72" t="s">
        <v>150</v>
      </c>
      <c r="C409" s="72" t="s">
        <v>117</v>
      </c>
      <c r="D409" s="72" t="s">
        <v>164</v>
      </c>
      <c r="E409" s="73">
        <v>-20000.0</v>
      </c>
    </row>
    <row r="410" ht="15.75" hidden="1" customHeight="1">
      <c r="A410" s="75">
        <v>46174.0</v>
      </c>
      <c r="B410" s="72" t="s">
        <v>153</v>
      </c>
      <c r="C410" s="72" t="s">
        <v>210</v>
      </c>
      <c r="D410" s="72" t="s">
        <v>220</v>
      </c>
      <c r="E410" s="73">
        <v>39068.0</v>
      </c>
      <c r="F410" s="76" t="s">
        <v>212</v>
      </c>
    </row>
    <row r="411" ht="15.75" hidden="1" customHeight="1">
      <c r="A411" s="75">
        <v>46174.0</v>
      </c>
      <c r="B411" s="72" t="s">
        <v>150</v>
      </c>
      <c r="C411" s="72" t="s">
        <v>113</v>
      </c>
      <c r="D411" s="72" t="s">
        <v>209</v>
      </c>
      <c r="E411" s="73">
        <v>-46830.0</v>
      </c>
    </row>
    <row r="412" ht="15.75" hidden="1" customHeight="1">
      <c r="A412" s="75">
        <v>46174.0</v>
      </c>
      <c r="B412" s="72" t="s">
        <v>150</v>
      </c>
      <c r="C412" s="72" t="s">
        <v>128</v>
      </c>
      <c r="D412" s="72" t="s">
        <v>348</v>
      </c>
      <c r="E412" s="73">
        <v>-36960.0</v>
      </c>
    </row>
    <row r="413" ht="15.75" hidden="1" customHeight="1">
      <c r="A413" s="75">
        <v>46174.0</v>
      </c>
      <c r="B413" s="72" t="s">
        <v>150</v>
      </c>
      <c r="C413" s="72" t="s">
        <v>126</v>
      </c>
      <c r="D413" s="72" t="s">
        <v>213</v>
      </c>
      <c r="E413" s="73">
        <v>-2700.0</v>
      </c>
    </row>
    <row r="414" ht="15.75" hidden="1" customHeight="1">
      <c r="A414" s="75">
        <v>46175.0</v>
      </c>
      <c r="B414" s="72" t="s">
        <v>150</v>
      </c>
      <c r="C414" s="72" t="s">
        <v>124</v>
      </c>
      <c r="D414" s="72" t="s">
        <v>241</v>
      </c>
      <c r="E414" s="73">
        <v>-139930.0</v>
      </c>
    </row>
    <row r="415" ht="15.75" hidden="1" customHeight="1">
      <c r="A415" s="75">
        <v>46175.0</v>
      </c>
      <c r="B415" s="72" t="s">
        <v>150</v>
      </c>
      <c r="C415" s="72" t="s">
        <v>122</v>
      </c>
      <c r="D415" s="72" t="s">
        <v>351</v>
      </c>
      <c r="E415" s="73">
        <v>-17220.0</v>
      </c>
    </row>
    <row r="416" ht="15.75" hidden="1" customHeight="1">
      <c r="A416" s="75">
        <v>46175.0</v>
      </c>
      <c r="B416" s="72" t="s">
        <v>150</v>
      </c>
      <c r="C416" s="72" t="s">
        <v>124</v>
      </c>
      <c r="D416" s="72" t="s">
        <v>352</v>
      </c>
      <c r="E416" s="73">
        <v>-19900.0</v>
      </c>
    </row>
    <row r="417" ht="15.75" hidden="1" customHeight="1">
      <c r="A417" s="75">
        <v>46175.0</v>
      </c>
      <c r="B417" s="72" t="s">
        <v>153</v>
      </c>
      <c r="C417" s="72" t="s">
        <v>9</v>
      </c>
      <c r="D417" s="72" t="s">
        <v>353</v>
      </c>
      <c r="E417" s="73">
        <v>720.0</v>
      </c>
    </row>
    <row r="418" ht="15.75" hidden="1" customHeight="1">
      <c r="A418" s="75">
        <v>46175.0</v>
      </c>
      <c r="B418" s="72" t="s">
        <v>150</v>
      </c>
      <c r="C418" s="72" t="s">
        <v>122</v>
      </c>
      <c r="D418" s="72" t="s">
        <v>354</v>
      </c>
      <c r="E418" s="73">
        <v>-2600.0</v>
      </c>
    </row>
    <row r="419" ht="15.75" hidden="1" customHeight="1">
      <c r="A419" s="75">
        <v>46175.0</v>
      </c>
      <c r="B419" s="72" t="s">
        <v>153</v>
      </c>
      <c r="C419" s="72" t="s">
        <v>9</v>
      </c>
      <c r="D419" s="72" t="s">
        <v>154</v>
      </c>
      <c r="E419" s="73">
        <v>13.0</v>
      </c>
    </row>
    <row r="420" ht="15.75" hidden="1" customHeight="1">
      <c r="A420" s="75">
        <v>46175.0</v>
      </c>
      <c r="B420" s="72" t="s">
        <v>150</v>
      </c>
      <c r="C420" s="72" t="s">
        <v>122</v>
      </c>
      <c r="D420" s="72" t="s">
        <v>242</v>
      </c>
      <c r="E420" s="73">
        <v>-3200.0</v>
      </c>
    </row>
    <row r="421" ht="15.75" hidden="1" customHeight="1">
      <c r="A421" s="75">
        <v>46175.0</v>
      </c>
      <c r="B421" s="72" t="s">
        <v>150</v>
      </c>
      <c r="C421" s="72" t="s">
        <v>119</v>
      </c>
      <c r="D421" s="72" t="s">
        <v>355</v>
      </c>
      <c r="E421" s="73">
        <v>-100.0</v>
      </c>
    </row>
    <row r="422" ht="15.75" hidden="1" customHeight="1">
      <c r="A422" s="75">
        <v>46175.0</v>
      </c>
      <c r="B422" s="72" t="s">
        <v>150</v>
      </c>
      <c r="C422" s="72" t="s">
        <v>119</v>
      </c>
      <c r="D422" s="72" t="s">
        <v>355</v>
      </c>
      <c r="E422" s="73">
        <v>-16100.0</v>
      </c>
    </row>
    <row r="423" ht="15.75" hidden="1" customHeight="1">
      <c r="A423" s="75">
        <v>46175.0</v>
      </c>
      <c r="B423" s="72" t="s">
        <v>150</v>
      </c>
      <c r="C423" s="72" t="s">
        <v>124</v>
      </c>
      <c r="D423" s="72" t="s">
        <v>356</v>
      </c>
      <c r="E423" s="73">
        <v>-72100.0</v>
      </c>
    </row>
    <row r="424" ht="15.75" hidden="1" customHeight="1">
      <c r="A424" s="75">
        <v>46175.0</v>
      </c>
      <c r="B424" s="72" t="s">
        <v>150</v>
      </c>
      <c r="C424" s="72" t="s">
        <v>122</v>
      </c>
      <c r="D424" s="72" t="s">
        <v>252</v>
      </c>
      <c r="E424" s="73">
        <v>-3300.0</v>
      </c>
    </row>
    <row r="425" ht="15.75" hidden="1" customHeight="1">
      <c r="A425" s="75">
        <v>46175.0</v>
      </c>
      <c r="B425" s="72" t="s">
        <v>153</v>
      </c>
      <c r="C425" s="72" t="s">
        <v>9</v>
      </c>
      <c r="D425" s="72" t="s">
        <v>154</v>
      </c>
      <c r="E425" s="73">
        <v>16.0</v>
      </c>
    </row>
    <row r="426" ht="15.75" hidden="1" customHeight="1">
      <c r="A426" s="75">
        <v>46175.0</v>
      </c>
      <c r="B426" s="72" t="s">
        <v>153</v>
      </c>
      <c r="C426" s="72" t="s">
        <v>210</v>
      </c>
      <c r="D426" s="72" t="s">
        <v>211</v>
      </c>
      <c r="E426" s="73">
        <v>19454.0</v>
      </c>
      <c r="F426" s="76" t="s">
        <v>212</v>
      </c>
    </row>
    <row r="427" ht="15.75" hidden="1" customHeight="1">
      <c r="A427" s="75">
        <v>46175.0</v>
      </c>
      <c r="B427" s="72" t="s">
        <v>150</v>
      </c>
      <c r="C427" s="72" t="s">
        <v>113</v>
      </c>
      <c r="D427" s="72" t="s">
        <v>357</v>
      </c>
      <c r="E427" s="73">
        <v>-20855.0</v>
      </c>
    </row>
    <row r="428" ht="15.75" hidden="1" customHeight="1">
      <c r="A428" s="75">
        <v>46175.0</v>
      </c>
      <c r="B428" s="72" t="s">
        <v>150</v>
      </c>
      <c r="C428" s="72" t="s">
        <v>122</v>
      </c>
      <c r="D428" s="72" t="s">
        <v>158</v>
      </c>
      <c r="E428" s="73">
        <v>-22100.0</v>
      </c>
    </row>
    <row r="429" ht="15.75" hidden="1" customHeight="1">
      <c r="A429" s="75">
        <v>46175.0</v>
      </c>
      <c r="B429" s="72" t="s">
        <v>150</v>
      </c>
      <c r="C429" s="72" t="s">
        <v>122</v>
      </c>
      <c r="D429" s="72" t="s">
        <v>156</v>
      </c>
      <c r="E429" s="73">
        <v>-9600.0</v>
      </c>
    </row>
    <row r="430" ht="15.75" hidden="1" customHeight="1">
      <c r="A430" s="75">
        <v>46175.0</v>
      </c>
      <c r="B430" s="72" t="s">
        <v>150</v>
      </c>
      <c r="C430" s="72" t="s">
        <v>126</v>
      </c>
      <c r="D430" s="72" t="s">
        <v>213</v>
      </c>
      <c r="E430" s="73">
        <v>-2200.0</v>
      </c>
    </row>
    <row r="431" ht="15.75" hidden="1" customHeight="1">
      <c r="A431" s="75">
        <v>46175.0</v>
      </c>
      <c r="B431" s="72" t="s">
        <v>150</v>
      </c>
      <c r="C431" s="72" t="s">
        <v>126</v>
      </c>
      <c r="D431" s="72" t="s">
        <v>214</v>
      </c>
      <c r="E431" s="73">
        <v>-5900.0</v>
      </c>
    </row>
    <row r="432" ht="15.75" hidden="1" customHeight="1">
      <c r="A432" s="75">
        <v>46176.0</v>
      </c>
      <c r="B432" s="72" t="s">
        <v>150</v>
      </c>
      <c r="C432" s="72" t="s">
        <v>122</v>
      </c>
      <c r="D432" s="72" t="s">
        <v>168</v>
      </c>
      <c r="E432" s="73">
        <v>-10000.0</v>
      </c>
    </row>
    <row r="433" ht="15.75" hidden="1" customHeight="1">
      <c r="A433" s="75">
        <v>46176.0</v>
      </c>
      <c r="B433" s="72" t="s">
        <v>150</v>
      </c>
      <c r="C433" s="72" t="s">
        <v>122</v>
      </c>
      <c r="D433" s="72" t="s">
        <v>156</v>
      </c>
      <c r="E433" s="73">
        <v>-5680.0</v>
      </c>
    </row>
    <row r="434" ht="15.75" hidden="1" customHeight="1">
      <c r="A434" s="75">
        <v>46177.0</v>
      </c>
      <c r="B434" s="72" t="s">
        <v>150</v>
      </c>
      <c r="C434" s="72" t="s">
        <v>128</v>
      </c>
      <c r="D434" s="72" t="s">
        <v>358</v>
      </c>
      <c r="E434" s="73">
        <v>-32396.0</v>
      </c>
    </row>
    <row r="435" ht="15.75" hidden="1" customHeight="1">
      <c r="A435" s="75">
        <v>46177.0</v>
      </c>
      <c r="B435" s="72" t="s">
        <v>150</v>
      </c>
      <c r="C435" s="72" t="s">
        <v>130</v>
      </c>
      <c r="D435" s="72" t="s">
        <v>230</v>
      </c>
      <c r="E435" s="73">
        <v>-2100.0</v>
      </c>
    </row>
    <row r="436" ht="15.75" hidden="1" customHeight="1">
      <c r="A436" s="75">
        <v>46177.0</v>
      </c>
      <c r="B436" s="72" t="s">
        <v>153</v>
      </c>
      <c r="C436" s="72" t="s">
        <v>9</v>
      </c>
      <c r="D436" s="72" t="s">
        <v>154</v>
      </c>
      <c r="E436" s="73">
        <v>21.0</v>
      </c>
    </row>
    <row r="437" ht="15.75" hidden="1" customHeight="1">
      <c r="A437" s="75">
        <v>46178.0</v>
      </c>
      <c r="B437" s="72" t="s">
        <v>150</v>
      </c>
      <c r="C437" s="72" t="s">
        <v>130</v>
      </c>
      <c r="D437" s="72" t="s">
        <v>359</v>
      </c>
      <c r="E437" s="73">
        <v>-2600.0</v>
      </c>
    </row>
    <row r="438" ht="15.75" hidden="1" customHeight="1">
      <c r="A438" s="75">
        <v>46178.0</v>
      </c>
      <c r="B438" s="72" t="s">
        <v>153</v>
      </c>
      <c r="C438" s="72" t="s">
        <v>9</v>
      </c>
      <c r="D438" s="72" t="s">
        <v>154</v>
      </c>
      <c r="E438" s="73">
        <v>26.0</v>
      </c>
    </row>
    <row r="439" ht="15.75" hidden="1" customHeight="1">
      <c r="A439" s="75">
        <v>46178.0</v>
      </c>
      <c r="B439" s="72" t="s">
        <v>150</v>
      </c>
      <c r="C439" s="72" t="s">
        <v>126</v>
      </c>
      <c r="D439" s="72" t="s">
        <v>360</v>
      </c>
      <c r="E439" s="73">
        <v>-181900.0</v>
      </c>
      <c r="F439" s="76" t="s">
        <v>208</v>
      </c>
    </row>
    <row r="440" ht="15.75" hidden="1" customHeight="1">
      <c r="A440" s="75">
        <v>46178.0</v>
      </c>
      <c r="B440" s="72" t="s">
        <v>150</v>
      </c>
      <c r="C440" s="72" t="s">
        <v>126</v>
      </c>
      <c r="D440" s="72" t="s">
        <v>361</v>
      </c>
      <c r="E440" s="73">
        <v>-5000.0</v>
      </c>
    </row>
    <row r="441" ht="15.75" hidden="1" customHeight="1">
      <c r="A441" s="75">
        <v>46178.0</v>
      </c>
      <c r="B441" s="72" t="s">
        <v>150</v>
      </c>
      <c r="C441" s="72" t="s">
        <v>126</v>
      </c>
      <c r="D441" s="72" t="s">
        <v>362</v>
      </c>
      <c r="E441" s="73">
        <v>-29700.0</v>
      </c>
      <c r="F441" s="76" t="s">
        <v>208</v>
      </c>
    </row>
    <row r="442" ht="15.75" hidden="1" customHeight="1">
      <c r="A442" s="75">
        <v>46178.0</v>
      </c>
      <c r="B442" s="72" t="s">
        <v>150</v>
      </c>
      <c r="C442" s="72" t="s">
        <v>126</v>
      </c>
      <c r="D442" s="72" t="s">
        <v>363</v>
      </c>
      <c r="E442" s="73">
        <v>-4700.0</v>
      </c>
    </row>
    <row r="443" ht="15.75" hidden="1" customHeight="1">
      <c r="A443" s="75">
        <v>46178.0</v>
      </c>
      <c r="B443" s="72" t="s">
        <v>153</v>
      </c>
      <c r="C443" s="72" t="s">
        <v>210</v>
      </c>
      <c r="D443" s="72" t="s">
        <v>364</v>
      </c>
      <c r="E443" s="73">
        <v>19700.0</v>
      </c>
      <c r="F443" s="76" t="s">
        <v>212</v>
      </c>
    </row>
    <row r="444" ht="15.75" hidden="1" customHeight="1">
      <c r="A444" s="75">
        <v>46178.0</v>
      </c>
      <c r="B444" s="72" t="s">
        <v>150</v>
      </c>
      <c r="C444" s="72" t="s">
        <v>122</v>
      </c>
      <c r="D444" s="72" t="s">
        <v>223</v>
      </c>
      <c r="E444" s="73">
        <v>-35100.0</v>
      </c>
    </row>
    <row r="445" ht="15.75" hidden="1" customHeight="1">
      <c r="A445" s="75">
        <v>46178.0</v>
      </c>
      <c r="B445" s="72" t="s">
        <v>150</v>
      </c>
      <c r="C445" s="72" t="s">
        <v>128</v>
      </c>
      <c r="D445" s="72" t="s">
        <v>365</v>
      </c>
      <c r="E445" s="73">
        <v>-16910.0</v>
      </c>
    </row>
    <row r="446" ht="15.75" hidden="1" customHeight="1">
      <c r="A446" s="75">
        <v>46178.0</v>
      </c>
      <c r="B446" s="72" t="s">
        <v>153</v>
      </c>
      <c r="C446" s="72" t="s">
        <v>210</v>
      </c>
      <c r="D446" s="72" t="s">
        <v>220</v>
      </c>
      <c r="E446" s="73">
        <v>111343.0</v>
      </c>
      <c r="F446" s="76" t="s">
        <v>212</v>
      </c>
    </row>
    <row r="447" ht="15.75" hidden="1" customHeight="1">
      <c r="A447" s="75">
        <v>46178.0</v>
      </c>
      <c r="B447" s="72" t="s">
        <v>150</v>
      </c>
      <c r="C447" s="72" t="s">
        <v>126</v>
      </c>
      <c r="D447" s="72" t="s">
        <v>366</v>
      </c>
      <c r="E447" s="73">
        <v>-80000.0</v>
      </c>
      <c r="F447" s="76" t="s">
        <v>208</v>
      </c>
    </row>
    <row r="448" ht="15.75" hidden="1" customHeight="1">
      <c r="A448" s="75">
        <v>46178.0</v>
      </c>
      <c r="B448" s="72" t="s">
        <v>150</v>
      </c>
      <c r="C448" s="72" t="s">
        <v>126</v>
      </c>
      <c r="D448" s="72" t="s">
        <v>367</v>
      </c>
      <c r="E448" s="73">
        <v>-254800.0</v>
      </c>
    </row>
    <row r="449" ht="15.75" hidden="1" customHeight="1">
      <c r="A449" s="75">
        <v>46178.0</v>
      </c>
      <c r="B449" s="72" t="s">
        <v>150</v>
      </c>
      <c r="C449" s="72" t="s">
        <v>122</v>
      </c>
      <c r="D449" s="72" t="s">
        <v>342</v>
      </c>
      <c r="E449" s="73">
        <v>-4000.0</v>
      </c>
    </row>
    <row r="450" ht="15.75" hidden="1" customHeight="1">
      <c r="A450" s="75">
        <v>46178.0</v>
      </c>
      <c r="B450" s="72" t="s">
        <v>153</v>
      </c>
      <c r="C450" s="72" t="s">
        <v>9</v>
      </c>
      <c r="D450" s="72" t="s">
        <v>154</v>
      </c>
      <c r="E450" s="73">
        <v>20.0</v>
      </c>
    </row>
    <row r="451" ht="15.75" hidden="1" customHeight="1">
      <c r="A451" s="75">
        <v>46178.0</v>
      </c>
      <c r="B451" s="72" t="s">
        <v>150</v>
      </c>
      <c r="C451" s="72" t="s">
        <v>122</v>
      </c>
      <c r="D451" s="72" t="s">
        <v>165</v>
      </c>
      <c r="E451" s="73">
        <v>-14800.0</v>
      </c>
    </row>
    <row r="452" ht="15.75" hidden="1" customHeight="1">
      <c r="A452" s="75">
        <v>46178.0</v>
      </c>
      <c r="B452" s="72" t="s">
        <v>150</v>
      </c>
      <c r="C452" s="72" t="s">
        <v>122</v>
      </c>
      <c r="D452" s="72" t="s">
        <v>368</v>
      </c>
      <c r="E452" s="73">
        <v>-27800.0</v>
      </c>
    </row>
    <row r="453" ht="15.75" hidden="1" customHeight="1">
      <c r="A453" s="75">
        <v>46178.0</v>
      </c>
      <c r="B453" s="72" t="s">
        <v>150</v>
      </c>
      <c r="C453" s="72" t="s">
        <v>122</v>
      </c>
      <c r="D453" s="72" t="s">
        <v>158</v>
      </c>
      <c r="E453" s="73">
        <v>-4670.0</v>
      </c>
    </row>
    <row r="454" ht="15.75" hidden="1" customHeight="1">
      <c r="A454" s="75">
        <v>46178.0</v>
      </c>
      <c r="B454" s="72" t="s">
        <v>153</v>
      </c>
      <c r="C454" s="72" t="s">
        <v>210</v>
      </c>
      <c r="D454" s="72" t="s">
        <v>211</v>
      </c>
      <c r="E454" s="73">
        <v>76492.0</v>
      </c>
      <c r="F454" s="76" t="s">
        <v>212</v>
      </c>
    </row>
    <row r="455" ht="15.75" hidden="1" customHeight="1">
      <c r="A455" s="75">
        <v>46178.0</v>
      </c>
      <c r="B455" s="72" t="s">
        <v>166</v>
      </c>
      <c r="C455" s="72" t="s">
        <v>166</v>
      </c>
      <c r="D455" s="72" t="s">
        <v>192</v>
      </c>
      <c r="E455" s="73">
        <v>-440000.0</v>
      </c>
    </row>
    <row r="456" ht="15.75" hidden="1" customHeight="1">
      <c r="A456" s="75">
        <v>46178.0</v>
      </c>
      <c r="B456" s="72" t="s">
        <v>153</v>
      </c>
      <c r="C456" s="72" t="s">
        <v>210</v>
      </c>
      <c r="D456" s="72" t="s">
        <v>220</v>
      </c>
      <c r="E456" s="73">
        <v>104963.0</v>
      </c>
      <c r="F456" s="76" t="s">
        <v>212</v>
      </c>
    </row>
    <row r="457" ht="15.75" hidden="1" customHeight="1">
      <c r="A457" s="75">
        <v>46178.0</v>
      </c>
      <c r="B457" s="72" t="s">
        <v>166</v>
      </c>
      <c r="C457" s="72" t="s">
        <v>166</v>
      </c>
      <c r="D457" s="72" t="s">
        <v>192</v>
      </c>
      <c r="E457" s="73">
        <v>-100000.0</v>
      </c>
    </row>
    <row r="458" ht="15.75" hidden="1" customHeight="1">
      <c r="A458" s="75">
        <v>46178.0</v>
      </c>
      <c r="B458" s="72" t="s">
        <v>150</v>
      </c>
      <c r="C458" s="72" t="s">
        <v>126</v>
      </c>
      <c r="D458" s="72" t="s">
        <v>360</v>
      </c>
      <c r="E458" s="73">
        <v>-103100.0</v>
      </c>
      <c r="F458" s="76" t="s">
        <v>208</v>
      </c>
    </row>
    <row r="459" ht="15.75" hidden="1" customHeight="1">
      <c r="A459" s="75">
        <v>46179.0</v>
      </c>
      <c r="B459" s="72" t="s">
        <v>150</v>
      </c>
      <c r="C459" s="72" t="s">
        <v>122</v>
      </c>
      <c r="D459" s="72" t="s">
        <v>369</v>
      </c>
      <c r="E459" s="73">
        <v>-2500.0</v>
      </c>
    </row>
    <row r="460" ht="15.75" hidden="1" customHeight="1">
      <c r="A460" s="75">
        <v>46179.0</v>
      </c>
      <c r="B460" s="72" t="s">
        <v>153</v>
      </c>
      <c r="C460" s="72" t="s">
        <v>9</v>
      </c>
      <c r="D460" s="72" t="s">
        <v>154</v>
      </c>
      <c r="E460" s="73">
        <v>12.0</v>
      </c>
    </row>
    <row r="461" ht="15.75" hidden="1" customHeight="1">
      <c r="A461" s="75">
        <v>46179.0</v>
      </c>
      <c r="B461" s="72" t="s">
        <v>150</v>
      </c>
      <c r="C461" s="72" t="s">
        <v>122</v>
      </c>
      <c r="D461" s="72" t="s">
        <v>242</v>
      </c>
      <c r="E461" s="73">
        <v>-3200.0</v>
      </c>
    </row>
    <row r="462" ht="15.75" hidden="1" customHeight="1">
      <c r="A462" s="75">
        <v>46179.0</v>
      </c>
      <c r="B462" s="72" t="s">
        <v>153</v>
      </c>
      <c r="C462" s="72" t="s">
        <v>9</v>
      </c>
      <c r="D462" s="72" t="s">
        <v>154</v>
      </c>
      <c r="E462" s="73">
        <v>16.0</v>
      </c>
    </row>
    <row r="463" ht="15.75" hidden="1" customHeight="1">
      <c r="A463" s="75">
        <v>46179.0</v>
      </c>
      <c r="B463" s="72" t="s">
        <v>150</v>
      </c>
      <c r="C463" s="72" t="s">
        <v>124</v>
      </c>
      <c r="D463" s="72" t="s">
        <v>370</v>
      </c>
      <c r="E463" s="73">
        <v>-28900.0</v>
      </c>
    </row>
    <row r="464" ht="15.75" hidden="1" customHeight="1">
      <c r="A464" s="75">
        <v>46179.0</v>
      </c>
      <c r="B464" s="72" t="s">
        <v>150</v>
      </c>
      <c r="C464" s="72" t="s">
        <v>122</v>
      </c>
      <c r="D464" s="72" t="s">
        <v>239</v>
      </c>
      <c r="E464" s="73">
        <v>-5980.0</v>
      </c>
    </row>
    <row r="465" ht="15.75" hidden="1" customHeight="1">
      <c r="A465" s="75">
        <v>46179.0</v>
      </c>
      <c r="B465" s="72" t="s">
        <v>150</v>
      </c>
      <c r="C465" s="72" t="s">
        <v>122</v>
      </c>
      <c r="D465" s="72" t="s">
        <v>371</v>
      </c>
      <c r="E465" s="73">
        <v>-3760.0</v>
      </c>
    </row>
    <row r="466" ht="15.75" hidden="1" customHeight="1">
      <c r="A466" s="75">
        <v>46179.0</v>
      </c>
      <c r="B466" s="72" t="s">
        <v>150</v>
      </c>
      <c r="C466" s="72" t="s">
        <v>122</v>
      </c>
      <c r="D466" s="72" t="s">
        <v>372</v>
      </c>
      <c r="E466" s="73">
        <v>-6850.0</v>
      </c>
    </row>
    <row r="467" ht="15.75" hidden="1" customHeight="1">
      <c r="A467" s="75">
        <v>46179.0</v>
      </c>
      <c r="B467" s="72" t="s">
        <v>150</v>
      </c>
      <c r="C467" s="72" t="s">
        <v>122</v>
      </c>
      <c r="D467" s="72" t="s">
        <v>373</v>
      </c>
      <c r="E467" s="73">
        <v>-17630.0</v>
      </c>
    </row>
    <row r="468" ht="15.75" hidden="1" customHeight="1">
      <c r="A468" s="75">
        <v>46179.0</v>
      </c>
      <c r="B468" s="72" t="s">
        <v>150</v>
      </c>
      <c r="C468" s="72" t="s">
        <v>122</v>
      </c>
      <c r="D468" s="72" t="s">
        <v>158</v>
      </c>
      <c r="E468" s="73">
        <v>-22880.0</v>
      </c>
    </row>
    <row r="469" ht="15.75" hidden="1" customHeight="1">
      <c r="A469" s="75">
        <v>46180.0</v>
      </c>
      <c r="B469" s="72" t="s">
        <v>150</v>
      </c>
      <c r="C469" s="72" t="s">
        <v>122</v>
      </c>
      <c r="D469" s="72" t="s">
        <v>369</v>
      </c>
      <c r="E469" s="73">
        <v>-6500.0</v>
      </c>
    </row>
    <row r="470" ht="15.75" hidden="1" customHeight="1">
      <c r="A470" s="75">
        <v>46180.0</v>
      </c>
      <c r="B470" s="72" t="s">
        <v>150</v>
      </c>
      <c r="C470" s="72" t="s">
        <v>122</v>
      </c>
      <c r="D470" s="72" t="s">
        <v>374</v>
      </c>
      <c r="E470" s="73">
        <v>-15990.0</v>
      </c>
    </row>
    <row r="471" ht="15.75" hidden="1" customHeight="1">
      <c r="A471" s="75">
        <v>46181.0</v>
      </c>
      <c r="B471" s="72" t="s">
        <v>153</v>
      </c>
      <c r="C471" s="72" t="s">
        <v>9</v>
      </c>
      <c r="D471" s="72" t="s">
        <v>337</v>
      </c>
      <c r="E471" s="73">
        <v>75.0</v>
      </c>
    </row>
    <row r="472" ht="15.75" hidden="1" customHeight="1">
      <c r="A472" s="75">
        <v>46181.0</v>
      </c>
      <c r="B472" s="72" t="s">
        <v>150</v>
      </c>
      <c r="C472" s="72" t="s">
        <v>122</v>
      </c>
      <c r="D472" s="72" t="s">
        <v>375</v>
      </c>
      <c r="E472" s="73">
        <v>-16700.0</v>
      </c>
    </row>
    <row r="473" ht="15.75" hidden="1" customHeight="1">
      <c r="A473" s="75">
        <v>46181.0</v>
      </c>
      <c r="B473" s="72" t="s">
        <v>153</v>
      </c>
      <c r="C473" s="72" t="s">
        <v>9</v>
      </c>
      <c r="D473" s="72" t="s">
        <v>154</v>
      </c>
      <c r="E473" s="73">
        <v>83.0</v>
      </c>
    </row>
    <row r="474" ht="15.75" hidden="1" customHeight="1">
      <c r="A474" s="75">
        <v>46181.0</v>
      </c>
      <c r="B474" s="72" t="s">
        <v>166</v>
      </c>
      <c r="C474" s="72" t="s">
        <v>166</v>
      </c>
      <c r="D474" s="72" t="s">
        <v>186</v>
      </c>
      <c r="E474" s="73">
        <v>100000.0</v>
      </c>
    </row>
    <row r="475" ht="15.75" hidden="1" customHeight="1">
      <c r="A475" s="75">
        <v>46181.0</v>
      </c>
      <c r="B475" s="72" t="s">
        <v>150</v>
      </c>
      <c r="C475" s="72" t="s">
        <v>122</v>
      </c>
      <c r="D475" s="72" t="s">
        <v>376</v>
      </c>
      <c r="E475" s="73">
        <v>-38000.0</v>
      </c>
    </row>
    <row r="476" ht="15.75" hidden="1" customHeight="1">
      <c r="A476" s="75">
        <v>46181.0</v>
      </c>
      <c r="B476" s="72" t="s">
        <v>153</v>
      </c>
      <c r="C476" s="72" t="s">
        <v>9</v>
      </c>
      <c r="D476" s="72" t="s">
        <v>154</v>
      </c>
      <c r="E476" s="73">
        <v>380.0</v>
      </c>
    </row>
    <row r="477" ht="15.75" hidden="1" customHeight="1">
      <c r="A477" s="75">
        <v>46181.0</v>
      </c>
      <c r="B477" s="72" t="s">
        <v>153</v>
      </c>
      <c r="C477" s="72" t="s">
        <v>210</v>
      </c>
      <c r="D477" s="72" t="s">
        <v>211</v>
      </c>
      <c r="E477" s="73">
        <v>53731.0</v>
      </c>
      <c r="F477" s="76" t="s">
        <v>212</v>
      </c>
    </row>
    <row r="478" ht="15.75" hidden="1" customHeight="1">
      <c r="A478" s="75">
        <v>46181.0</v>
      </c>
      <c r="B478" s="72" t="s">
        <v>150</v>
      </c>
      <c r="C478" s="72" t="s">
        <v>131</v>
      </c>
      <c r="D478" s="72" t="s">
        <v>377</v>
      </c>
      <c r="E478" s="73">
        <v>-3300.0</v>
      </c>
    </row>
    <row r="479" ht="15.75" hidden="1" customHeight="1">
      <c r="A479" s="75">
        <v>46181.0</v>
      </c>
      <c r="B479" s="72" t="s">
        <v>153</v>
      </c>
      <c r="C479" s="72" t="s">
        <v>9</v>
      </c>
      <c r="D479" s="72" t="s">
        <v>154</v>
      </c>
      <c r="E479" s="73">
        <v>16.0</v>
      </c>
    </row>
    <row r="480" ht="15.75" hidden="1" customHeight="1">
      <c r="A480" s="75">
        <v>46182.0</v>
      </c>
      <c r="B480" s="72" t="s">
        <v>166</v>
      </c>
      <c r="C480" s="72" t="s">
        <v>179</v>
      </c>
      <c r="D480" s="72" t="s">
        <v>186</v>
      </c>
      <c r="E480" s="73">
        <v>500000.0</v>
      </c>
    </row>
    <row r="481" ht="15.75" hidden="1" customHeight="1">
      <c r="A481" s="75">
        <v>46182.0</v>
      </c>
      <c r="B481" s="72" t="s">
        <v>153</v>
      </c>
      <c r="C481" s="72" t="s">
        <v>9</v>
      </c>
      <c r="D481" s="72" t="s">
        <v>191</v>
      </c>
      <c r="E481" s="73">
        <v>25000.0</v>
      </c>
    </row>
    <row r="482" ht="15.75" hidden="1" customHeight="1">
      <c r="A482" s="75">
        <v>46182.0</v>
      </c>
      <c r="B482" s="72" t="s">
        <v>166</v>
      </c>
      <c r="C482" s="72" t="s">
        <v>166</v>
      </c>
      <c r="D482" s="72" t="s">
        <v>191</v>
      </c>
      <c r="E482" s="73">
        <v>-475000.0</v>
      </c>
    </row>
    <row r="483" ht="15.75" hidden="1" customHeight="1">
      <c r="A483" s="75">
        <v>46182.0</v>
      </c>
      <c r="B483" s="72" t="s">
        <v>150</v>
      </c>
      <c r="C483" s="72" t="s">
        <v>119</v>
      </c>
      <c r="D483" s="72" t="s">
        <v>204</v>
      </c>
      <c r="E483" s="73">
        <v>-39900.0</v>
      </c>
    </row>
    <row r="484" ht="15.75" hidden="1" customHeight="1">
      <c r="A484" s="75">
        <v>46182.0</v>
      </c>
      <c r="B484" s="72" t="s">
        <v>166</v>
      </c>
      <c r="C484" s="72" t="s">
        <v>166</v>
      </c>
      <c r="D484" s="72" t="s">
        <v>186</v>
      </c>
      <c r="E484" s="73">
        <v>500000.0</v>
      </c>
    </row>
    <row r="485" ht="15.75" hidden="1" customHeight="1">
      <c r="A485" s="75">
        <v>46182.0</v>
      </c>
      <c r="B485" s="72" t="s">
        <v>153</v>
      </c>
      <c r="C485" s="72" t="s">
        <v>9</v>
      </c>
      <c r="D485" s="72" t="s">
        <v>191</v>
      </c>
      <c r="E485" s="73">
        <v>25000.0</v>
      </c>
    </row>
    <row r="486" ht="15.75" hidden="1" customHeight="1">
      <c r="A486" s="75">
        <v>46182.0</v>
      </c>
      <c r="B486" s="72" t="s">
        <v>166</v>
      </c>
      <c r="C486" s="72" t="s">
        <v>161</v>
      </c>
      <c r="D486" s="72" t="s">
        <v>191</v>
      </c>
      <c r="E486" s="73">
        <v>-475000.0</v>
      </c>
    </row>
    <row r="487" ht="15.75" hidden="1" customHeight="1">
      <c r="A487" s="75">
        <v>46182.0</v>
      </c>
      <c r="B487" s="72" t="s">
        <v>150</v>
      </c>
      <c r="C487" s="72" t="s">
        <v>113</v>
      </c>
      <c r="D487" s="72" t="s">
        <v>209</v>
      </c>
      <c r="E487" s="73">
        <v>-170600.0</v>
      </c>
    </row>
    <row r="488" ht="15.75" hidden="1" customHeight="1">
      <c r="A488" s="75">
        <v>46182.0</v>
      </c>
      <c r="B488" s="72" t="s">
        <v>150</v>
      </c>
      <c r="C488" s="72" t="s">
        <v>122</v>
      </c>
      <c r="D488" s="72" t="s">
        <v>156</v>
      </c>
      <c r="E488" s="73">
        <v>-1680.0</v>
      </c>
    </row>
    <row r="489" ht="15.75" hidden="1" customHeight="1">
      <c r="A489" s="75">
        <v>46182.0</v>
      </c>
      <c r="B489" s="72" t="s">
        <v>150</v>
      </c>
      <c r="C489" s="72" t="s">
        <v>126</v>
      </c>
      <c r="D489" s="72" t="s">
        <v>360</v>
      </c>
      <c r="E489" s="73">
        <v>-181900.0</v>
      </c>
      <c r="F489" s="76" t="s">
        <v>208</v>
      </c>
    </row>
    <row r="490" ht="15.75" hidden="1" customHeight="1">
      <c r="A490" s="75">
        <v>46182.0</v>
      </c>
      <c r="B490" s="72" t="s">
        <v>150</v>
      </c>
      <c r="C490" s="72" t="s">
        <v>122</v>
      </c>
      <c r="D490" s="72" t="s">
        <v>158</v>
      </c>
      <c r="E490" s="73">
        <v>-4900.0</v>
      </c>
    </row>
    <row r="491" ht="15.75" hidden="1" customHeight="1">
      <c r="A491" s="75">
        <v>46183.0</v>
      </c>
      <c r="B491" s="72" t="s">
        <v>150</v>
      </c>
      <c r="C491" s="72" t="s">
        <v>117</v>
      </c>
      <c r="D491" s="72" t="s">
        <v>232</v>
      </c>
      <c r="E491" s="73">
        <v>-26900.0</v>
      </c>
    </row>
    <row r="492" ht="15.75" hidden="1" customHeight="1">
      <c r="A492" s="75">
        <v>46183.0</v>
      </c>
      <c r="B492" s="72" t="s">
        <v>153</v>
      </c>
      <c r="C492" s="72" t="s">
        <v>9</v>
      </c>
      <c r="D492" s="72" t="s">
        <v>233</v>
      </c>
      <c r="E492" s="73">
        <v>156.0</v>
      </c>
    </row>
    <row r="493" ht="15.75" hidden="1" customHeight="1">
      <c r="A493" s="75">
        <v>46183.0</v>
      </c>
      <c r="B493" s="72" t="s">
        <v>150</v>
      </c>
      <c r="C493" s="72" t="s">
        <v>130</v>
      </c>
      <c r="D493" s="72" t="s">
        <v>378</v>
      </c>
      <c r="E493" s="73">
        <v>-4600.0</v>
      </c>
    </row>
    <row r="494" ht="15.75" hidden="1" customHeight="1">
      <c r="A494" s="75">
        <v>46183.0</v>
      </c>
      <c r="B494" s="72" t="s">
        <v>153</v>
      </c>
      <c r="C494" s="72" t="s">
        <v>9</v>
      </c>
      <c r="D494" s="72" t="s">
        <v>154</v>
      </c>
      <c r="E494" s="73">
        <v>23.0</v>
      </c>
    </row>
    <row r="495" ht="15.75" hidden="1" customHeight="1">
      <c r="A495" s="75">
        <v>46183.0</v>
      </c>
      <c r="B495" s="72" t="s">
        <v>150</v>
      </c>
      <c r="C495" s="72" t="s">
        <v>122</v>
      </c>
      <c r="D495" s="72" t="s">
        <v>201</v>
      </c>
      <c r="E495" s="73">
        <v>-15000.0</v>
      </c>
    </row>
    <row r="496" ht="15.75" hidden="1" customHeight="1">
      <c r="A496" s="75">
        <v>46183.0</v>
      </c>
      <c r="B496" s="72" t="s">
        <v>153</v>
      </c>
      <c r="C496" s="72" t="s">
        <v>9</v>
      </c>
      <c r="D496" s="72" t="s">
        <v>154</v>
      </c>
      <c r="E496" s="73">
        <v>75.0</v>
      </c>
    </row>
    <row r="497" ht="15.75" hidden="1" customHeight="1">
      <c r="A497" s="75">
        <v>46183.0</v>
      </c>
      <c r="B497" s="72" t="s">
        <v>153</v>
      </c>
      <c r="C497" s="72" t="s">
        <v>210</v>
      </c>
      <c r="D497" s="72" t="s">
        <v>220</v>
      </c>
      <c r="E497" s="73">
        <v>104963.0</v>
      </c>
      <c r="F497" s="76" t="s">
        <v>212</v>
      </c>
    </row>
    <row r="498" ht="15.75" hidden="1" customHeight="1">
      <c r="A498" s="75">
        <v>46183.0</v>
      </c>
      <c r="B498" s="72" t="s">
        <v>166</v>
      </c>
      <c r="C498" s="72" t="s">
        <v>166</v>
      </c>
      <c r="D498" s="72" t="s">
        <v>192</v>
      </c>
      <c r="E498" s="73">
        <v>-100000.0</v>
      </c>
    </row>
    <row r="499" ht="15.75" hidden="1" customHeight="1">
      <c r="A499" s="75">
        <v>46183.0</v>
      </c>
      <c r="B499" s="72" t="s">
        <v>153</v>
      </c>
      <c r="C499" s="72" t="s">
        <v>210</v>
      </c>
      <c r="D499" s="72" t="s">
        <v>211</v>
      </c>
      <c r="E499" s="73">
        <v>76595.0</v>
      </c>
      <c r="F499" s="76" t="s">
        <v>212</v>
      </c>
    </row>
    <row r="500" ht="15.75" hidden="1" customHeight="1">
      <c r="A500" s="75">
        <v>46183.0</v>
      </c>
      <c r="B500" s="72" t="s">
        <v>166</v>
      </c>
      <c r="C500" s="72" t="s">
        <v>166</v>
      </c>
      <c r="D500" s="72" t="s">
        <v>192</v>
      </c>
      <c r="E500" s="73">
        <v>-200000.0</v>
      </c>
    </row>
    <row r="501" ht="15.75" hidden="1" customHeight="1">
      <c r="A501" s="75">
        <v>46183.0</v>
      </c>
      <c r="B501" s="72" t="s">
        <v>150</v>
      </c>
      <c r="C501" s="72" t="s">
        <v>122</v>
      </c>
      <c r="D501" s="72" t="s">
        <v>156</v>
      </c>
      <c r="E501" s="73">
        <v>-37900.0</v>
      </c>
    </row>
    <row r="502" ht="15.75" hidden="1" customHeight="1">
      <c r="A502" s="75">
        <v>46183.0</v>
      </c>
      <c r="B502" s="72" t="s">
        <v>150</v>
      </c>
      <c r="C502" s="72" t="s">
        <v>126</v>
      </c>
      <c r="D502" s="72" t="s">
        <v>360</v>
      </c>
      <c r="E502" s="73">
        <v>-181900.0</v>
      </c>
      <c r="F502" s="76" t="s">
        <v>208</v>
      </c>
    </row>
    <row r="503" ht="15.75" customHeight="1">
      <c r="A503" s="75">
        <v>46184.0</v>
      </c>
      <c r="B503" s="72" t="s">
        <v>150</v>
      </c>
      <c r="C503" s="72" t="s">
        <v>114</v>
      </c>
      <c r="D503" s="72" t="s">
        <v>235</v>
      </c>
      <c r="E503" s="73">
        <v>-35200.0</v>
      </c>
    </row>
    <row r="504" ht="15.75" customHeight="1">
      <c r="A504" s="75">
        <v>46184.0</v>
      </c>
      <c r="B504" s="72" t="s">
        <v>150</v>
      </c>
      <c r="C504" s="72" t="s">
        <v>114</v>
      </c>
      <c r="D504" s="72" t="s">
        <v>235</v>
      </c>
      <c r="E504" s="73">
        <v>-47330.0</v>
      </c>
    </row>
    <row r="505" ht="15.75" hidden="1" customHeight="1">
      <c r="A505" s="75">
        <v>46184.0</v>
      </c>
      <c r="B505" s="72" t="s">
        <v>150</v>
      </c>
      <c r="C505" s="72" t="s">
        <v>124</v>
      </c>
      <c r="D505" s="72" t="s">
        <v>379</v>
      </c>
      <c r="E505" s="73">
        <v>-15999.0</v>
      </c>
    </row>
    <row r="506" ht="15.75" hidden="1" customHeight="1">
      <c r="A506" s="75">
        <v>46184.0</v>
      </c>
      <c r="B506" s="72" t="s">
        <v>150</v>
      </c>
      <c r="C506" s="72" t="s">
        <v>122</v>
      </c>
      <c r="D506" s="72" t="s">
        <v>333</v>
      </c>
      <c r="E506" s="73">
        <v>-23280.0</v>
      </c>
    </row>
    <row r="507" ht="15.75" hidden="1" customHeight="1">
      <c r="A507" s="75">
        <v>46184.0</v>
      </c>
      <c r="B507" s="72" t="s">
        <v>150</v>
      </c>
      <c r="C507" s="72" t="s">
        <v>119</v>
      </c>
      <c r="D507" s="72" t="s">
        <v>380</v>
      </c>
      <c r="E507" s="73">
        <v>-4000.0</v>
      </c>
    </row>
    <row r="508" ht="15.75" hidden="1" customHeight="1">
      <c r="A508" s="75">
        <v>46184.0</v>
      </c>
      <c r="B508" s="72" t="s">
        <v>150</v>
      </c>
      <c r="C508" s="72" t="s">
        <v>119</v>
      </c>
      <c r="D508" s="72" t="s">
        <v>381</v>
      </c>
      <c r="E508" s="73">
        <v>-7800.0</v>
      </c>
    </row>
    <row r="509" ht="15.75" hidden="1" customHeight="1">
      <c r="A509" s="75">
        <v>46184.0</v>
      </c>
      <c r="B509" s="72" t="s">
        <v>150</v>
      </c>
      <c r="C509" s="72" t="s">
        <v>119</v>
      </c>
      <c r="D509" s="72" t="s">
        <v>382</v>
      </c>
      <c r="E509" s="73">
        <v>-4600.0</v>
      </c>
    </row>
    <row r="510" ht="15.75" hidden="1" customHeight="1">
      <c r="A510" s="75">
        <v>46184.0</v>
      </c>
      <c r="B510" s="72" t="s">
        <v>153</v>
      </c>
      <c r="C510" s="72" t="s">
        <v>210</v>
      </c>
      <c r="D510" s="72" t="s">
        <v>220</v>
      </c>
      <c r="E510" s="73">
        <v>104963.0</v>
      </c>
      <c r="F510" s="76" t="s">
        <v>212</v>
      </c>
    </row>
    <row r="511" ht="15.75" hidden="1" customHeight="1">
      <c r="A511" s="75">
        <v>46184.0</v>
      </c>
      <c r="B511" s="72" t="s">
        <v>166</v>
      </c>
      <c r="C511" s="72" t="s">
        <v>166</v>
      </c>
      <c r="D511" s="72" t="s">
        <v>192</v>
      </c>
      <c r="E511" s="73">
        <v>-100000.0</v>
      </c>
    </row>
    <row r="512" ht="15.75" hidden="1" customHeight="1">
      <c r="A512" s="75">
        <v>46184.0</v>
      </c>
      <c r="B512" s="72" t="s">
        <v>150</v>
      </c>
      <c r="C512" s="72" t="s">
        <v>131</v>
      </c>
      <c r="D512" s="72" t="s">
        <v>377</v>
      </c>
      <c r="E512" s="73">
        <v>-3300.0</v>
      </c>
    </row>
    <row r="513" ht="15.75" hidden="1" customHeight="1">
      <c r="A513" s="75">
        <v>46184.0</v>
      </c>
      <c r="B513" s="72" t="s">
        <v>153</v>
      </c>
      <c r="C513" s="72" t="s">
        <v>9</v>
      </c>
      <c r="D513" s="72" t="s">
        <v>154</v>
      </c>
      <c r="E513" s="73">
        <v>16.0</v>
      </c>
    </row>
    <row r="514" ht="15.75" hidden="1" customHeight="1">
      <c r="A514" s="75">
        <v>46184.0</v>
      </c>
      <c r="B514" s="72" t="s">
        <v>153</v>
      </c>
      <c r="C514" s="72" t="s">
        <v>210</v>
      </c>
      <c r="D514" s="72" t="s">
        <v>211</v>
      </c>
      <c r="E514" s="73">
        <v>76595.0</v>
      </c>
      <c r="F514" s="76" t="s">
        <v>212</v>
      </c>
    </row>
    <row r="515" ht="15.75" hidden="1" customHeight="1">
      <c r="A515" s="75">
        <v>46184.0</v>
      </c>
      <c r="B515" s="72" t="s">
        <v>166</v>
      </c>
      <c r="C515" s="72" t="s">
        <v>166</v>
      </c>
      <c r="D515" s="72" t="s">
        <v>192</v>
      </c>
      <c r="E515" s="73">
        <v>-76595.0</v>
      </c>
    </row>
    <row r="516" ht="15.75" hidden="1" customHeight="1">
      <c r="A516" s="75">
        <v>46185.0</v>
      </c>
      <c r="B516" s="72" t="s">
        <v>150</v>
      </c>
      <c r="C516" s="72" t="s">
        <v>117</v>
      </c>
      <c r="D516" s="72" t="s">
        <v>151</v>
      </c>
      <c r="E516" s="73">
        <v>-7890.0</v>
      </c>
    </row>
    <row r="517" ht="15.75" hidden="1" customHeight="1">
      <c r="A517" s="75">
        <v>46185.0</v>
      </c>
      <c r="B517" s="72" t="s">
        <v>150</v>
      </c>
      <c r="C517" s="72" t="s">
        <v>130</v>
      </c>
      <c r="D517" s="72" t="s">
        <v>383</v>
      </c>
      <c r="E517" s="73">
        <v>-15000.0</v>
      </c>
    </row>
    <row r="518" ht="15.75" hidden="1" customHeight="1">
      <c r="A518" s="75">
        <v>46185.0</v>
      </c>
      <c r="B518" s="72" t="s">
        <v>153</v>
      </c>
      <c r="C518" s="72" t="s">
        <v>9</v>
      </c>
      <c r="D518" s="72" t="s">
        <v>154</v>
      </c>
      <c r="E518" s="73">
        <v>75.0</v>
      </c>
    </row>
    <row r="519" ht="15.75" hidden="1" customHeight="1">
      <c r="A519" s="75">
        <v>46185.0</v>
      </c>
      <c r="B519" s="72" t="s">
        <v>153</v>
      </c>
      <c r="C519" s="72" t="s">
        <v>9</v>
      </c>
      <c r="D519" s="72" t="s">
        <v>384</v>
      </c>
      <c r="E519" s="73">
        <v>5000.0</v>
      </c>
    </row>
    <row r="520" ht="15.75" hidden="1" customHeight="1">
      <c r="A520" s="75">
        <v>46185.0</v>
      </c>
      <c r="B520" s="72" t="s">
        <v>150</v>
      </c>
      <c r="C520" s="72" t="s">
        <v>113</v>
      </c>
      <c r="D520" s="72" t="s">
        <v>357</v>
      </c>
      <c r="E520" s="73">
        <v>-33007.0</v>
      </c>
    </row>
    <row r="521" ht="15.75" hidden="1" customHeight="1">
      <c r="A521" s="75">
        <v>46185.0</v>
      </c>
      <c r="B521" s="72" t="s">
        <v>150</v>
      </c>
      <c r="C521" s="72" t="s">
        <v>129</v>
      </c>
      <c r="D521" s="72" t="s">
        <v>385</v>
      </c>
      <c r="E521" s="73">
        <v>-63000.0</v>
      </c>
    </row>
    <row r="522" ht="15.75" hidden="1" customHeight="1">
      <c r="A522" s="75">
        <v>46185.0</v>
      </c>
      <c r="B522" s="72" t="s">
        <v>150</v>
      </c>
      <c r="C522" s="72" t="s">
        <v>131</v>
      </c>
      <c r="D522" s="72" t="s">
        <v>223</v>
      </c>
      <c r="E522" s="73">
        <v>-21800.0</v>
      </c>
    </row>
    <row r="523" ht="15.75" hidden="1" customHeight="1">
      <c r="A523" s="75">
        <v>46185.0</v>
      </c>
      <c r="B523" s="72" t="s">
        <v>153</v>
      </c>
      <c r="C523" s="72" t="s">
        <v>7</v>
      </c>
      <c r="D523" s="72" t="s">
        <v>386</v>
      </c>
      <c r="E523" s="73">
        <v>2530588.0</v>
      </c>
    </row>
    <row r="524" ht="15.75" hidden="1" customHeight="1">
      <c r="A524" s="75">
        <v>46185.0</v>
      </c>
      <c r="B524" s="72" t="s">
        <v>166</v>
      </c>
      <c r="C524" s="72" t="s">
        <v>166</v>
      </c>
      <c r="D524" s="72" t="s">
        <v>186</v>
      </c>
      <c r="E524" s="73">
        <v>-2530588.0</v>
      </c>
    </row>
    <row r="525" ht="15.75" hidden="1" customHeight="1">
      <c r="A525" s="75">
        <v>46185.0</v>
      </c>
      <c r="B525" s="72" t="s">
        <v>150</v>
      </c>
      <c r="C525" s="72" t="s">
        <v>126</v>
      </c>
      <c r="D525" s="72" t="s">
        <v>360</v>
      </c>
      <c r="E525" s="73">
        <v>-181600.0</v>
      </c>
      <c r="F525" s="76" t="s">
        <v>208</v>
      </c>
    </row>
    <row r="526" ht="15.75" hidden="1" customHeight="1">
      <c r="A526" s="75">
        <v>46186.0</v>
      </c>
      <c r="B526" s="72" t="s">
        <v>150</v>
      </c>
      <c r="C526" s="72" t="s">
        <v>122</v>
      </c>
      <c r="D526" s="72" t="s">
        <v>387</v>
      </c>
      <c r="E526" s="73">
        <v>-6500.0</v>
      </c>
    </row>
    <row r="527" ht="15.75" hidden="1" customHeight="1">
      <c r="A527" s="75">
        <v>46186.0</v>
      </c>
      <c r="B527" s="72" t="s">
        <v>166</v>
      </c>
      <c r="C527" s="72" t="s">
        <v>179</v>
      </c>
      <c r="D527" s="72" t="s">
        <v>186</v>
      </c>
      <c r="E527" s="73">
        <v>200000.0</v>
      </c>
    </row>
    <row r="528" ht="15.75" hidden="1" customHeight="1">
      <c r="A528" s="75">
        <v>46186.0</v>
      </c>
      <c r="B528" s="72" t="s">
        <v>153</v>
      </c>
      <c r="C528" s="72" t="s">
        <v>9</v>
      </c>
      <c r="D528" s="72" t="s">
        <v>154</v>
      </c>
      <c r="E528" s="73">
        <v>273.0</v>
      </c>
    </row>
    <row r="529" ht="15.75" hidden="1" customHeight="1">
      <c r="A529" s="75">
        <v>46186.0</v>
      </c>
      <c r="B529" s="72" t="s">
        <v>150</v>
      </c>
      <c r="C529" s="72" t="s">
        <v>122</v>
      </c>
      <c r="D529" s="72" t="s">
        <v>223</v>
      </c>
      <c r="E529" s="73">
        <v>-39600.0</v>
      </c>
    </row>
    <row r="530" ht="15.75" hidden="1" customHeight="1">
      <c r="A530" s="75">
        <v>46186.0</v>
      </c>
      <c r="B530" s="72" t="s">
        <v>150</v>
      </c>
      <c r="C530" s="72" t="s">
        <v>122</v>
      </c>
      <c r="D530" s="72" t="s">
        <v>388</v>
      </c>
      <c r="E530" s="73">
        <v>-2000.0</v>
      </c>
    </row>
    <row r="531" ht="15.75" hidden="1" customHeight="1">
      <c r="A531" s="75">
        <v>46186.0</v>
      </c>
      <c r="B531" s="72" t="s">
        <v>153</v>
      </c>
      <c r="C531" s="72" t="s">
        <v>9</v>
      </c>
      <c r="D531" s="72" t="s">
        <v>154</v>
      </c>
      <c r="E531" s="73">
        <v>10.0</v>
      </c>
    </row>
    <row r="532" ht="15.75" hidden="1" customHeight="1">
      <c r="A532" s="75">
        <v>46186.0</v>
      </c>
      <c r="B532" s="72" t="s">
        <v>150</v>
      </c>
      <c r="C532" s="72" t="s">
        <v>122</v>
      </c>
      <c r="D532" s="72" t="s">
        <v>389</v>
      </c>
      <c r="E532" s="73">
        <v>-2800.0</v>
      </c>
    </row>
    <row r="533" ht="15.75" hidden="1" customHeight="1">
      <c r="A533" s="75">
        <v>46186.0</v>
      </c>
      <c r="B533" s="72" t="s">
        <v>153</v>
      </c>
      <c r="C533" s="72" t="s">
        <v>9</v>
      </c>
      <c r="D533" s="72" t="s">
        <v>154</v>
      </c>
      <c r="E533" s="73">
        <v>14.0</v>
      </c>
    </row>
    <row r="534" ht="15.75" hidden="1" customHeight="1">
      <c r="A534" s="75">
        <v>46187.0</v>
      </c>
      <c r="B534" s="72" t="s">
        <v>150</v>
      </c>
      <c r="C534" s="72" t="s">
        <v>117</v>
      </c>
      <c r="D534" s="72" t="s">
        <v>251</v>
      </c>
      <c r="E534" s="73">
        <v>-29000.0</v>
      </c>
    </row>
    <row r="535" ht="15.75" hidden="1" customHeight="1">
      <c r="A535" s="75">
        <v>46187.0</v>
      </c>
      <c r="B535" s="72" t="s">
        <v>153</v>
      </c>
      <c r="C535" s="72" t="s">
        <v>9</v>
      </c>
      <c r="D535" s="72" t="s">
        <v>390</v>
      </c>
      <c r="E535" s="73">
        <v>11.0</v>
      </c>
    </row>
    <row r="536" ht="15.75" hidden="1" customHeight="1">
      <c r="A536" s="75">
        <v>46187.0</v>
      </c>
      <c r="B536" s="72" t="s">
        <v>166</v>
      </c>
      <c r="C536" s="72" t="s">
        <v>161</v>
      </c>
      <c r="D536" s="72" t="s">
        <v>390</v>
      </c>
      <c r="E536" s="73">
        <v>0.0</v>
      </c>
    </row>
    <row r="537" ht="15.75" hidden="1" customHeight="1">
      <c r="A537" s="75">
        <v>46187.0</v>
      </c>
      <c r="B537" s="72" t="s">
        <v>166</v>
      </c>
      <c r="C537" s="72" t="s">
        <v>179</v>
      </c>
      <c r="D537" s="72" t="s">
        <v>391</v>
      </c>
      <c r="E537" s="73">
        <v>-196700.0</v>
      </c>
    </row>
    <row r="538" ht="15.75" hidden="1" customHeight="1">
      <c r="A538" s="75">
        <v>46187.0</v>
      </c>
      <c r="B538" s="72" t="s">
        <v>166</v>
      </c>
      <c r="C538" s="72" t="s">
        <v>179</v>
      </c>
      <c r="D538" s="72" t="s">
        <v>216</v>
      </c>
      <c r="E538" s="73">
        <v>196700.0</v>
      </c>
    </row>
    <row r="539" ht="15.75" hidden="1" customHeight="1">
      <c r="A539" s="75">
        <v>46187.0</v>
      </c>
      <c r="B539" s="72" t="s">
        <v>166</v>
      </c>
      <c r="C539" s="72" t="s">
        <v>166</v>
      </c>
      <c r="D539" s="72" t="s">
        <v>247</v>
      </c>
      <c r="E539" s="73">
        <v>-142000.0</v>
      </c>
    </row>
    <row r="540" ht="15.75" hidden="1" customHeight="1">
      <c r="A540" s="75">
        <v>46187.0</v>
      </c>
      <c r="B540" s="72" t="s">
        <v>166</v>
      </c>
      <c r="C540" s="72" t="s">
        <v>179</v>
      </c>
      <c r="D540" s="72" t="s">
        <v>186</v>
      </c>
      <c r="E540" s="73">
        <v>-54700.0</v>
      </c>
    </row>
    <row r="541" ht="15.75" hidden="1" customHeight="1">
      <c r="A541" s="75">
        <v>46187.0</v>
      </c>
      <c r="B541" s="72" t="s">
        <v>166</v>
      </c>
      <c r="C541" s="72" t="s">
        <v>179</v>
      </c>
      <c r="D541" s="72" t="s">
        <v>186</v>
      </c>
      <c r="E541" s="73">
        <v>54700.0</v>
      </c>
    </row>
    <row r="542" ht="15.75" hidden="1" customHeight="1">
      <c r="A542" s="75">
        <v>46187.0</v>
      </c>
      <c r="B542" s="72" t="s">
        <v>166</v>
      </c>
      <c r="C542" s="72" t="s">
        <v>179</v>
      </c>
      <c r="D542" s="72" t="s">
        <v>186</v>
      </c>
      <c r="E542" s="73">
        <v>-55431.0</v>
      </c>
    </row>
    <row r="543" ht="15.75" hidden="1" customHeight="1">
      <c r="A543" s="75">
        <v>46187.0</v>
      </c>
      <c r="B543" s="72" t="s">
        <v>166</v>
      </c>
      <c r="C543" s="72" t="s">
        <v>179</v>
      </c>
      <c r="D543" s="72" t="s">
        <v>186</v>
      </c>
      <c r="E543" s="73">
        <v>400000.0</v>
      </c>
    </row>
    <row r="544" ht="15.75" hidden="1" customHeight="1">
      <c r="A544" s="75">
        <v>46187.0</v>
      </c>
      <c r="B544" s="72" t="s">
        <v>150</v>
      </c>
      <c r="C544" s="72" t="s">
        <v>124</v>
      </c>
      <c r="D544" s="72" t="s">
        <v>356</v>
      </c>
      <c r="E544" s="73">
        <v>-50760.0</v>
      </c>
    </row>
    <row r="545" ht="15.75" hidden="1" customHeight="1">
      <c r="A545" s="75">
        <v>46187.0</v>
      </c>
      <c r="B545" s="72" t="s">
        <v>150</v>
      </c>
      <c r="C545" s="72" t="s">
        <v>122</v>
      </c>
      <c r="D545" s="72" t="s">
        <v>151</v>
      </c>
      <c r="E545" s="73">
        <v>-22750.0</v>
      </c>
    </row>
    <row r="546" ht="15.75" hidden="1" customHeight="1">
      <c r="A546" s="75">
        <v>46187.0</v>
      </c>
      <c r="B546" s="72" t="s">
        <v>150</v>
      </c>
      <c r="C546" s="72" t="s">
        <v>124</v>
      </c>
      <c r="D546" s="72" t="s">
        <v>392</v>
      </c>
      <c r="E546" s="73">
        <v>-50000.0</v>
      </c>
    </row>
    <row r="547" ht="15.75" hidden="1" customHeight="1">
      <c r="A547" s="75">
        <v>46187.0</v>
      </c>
      <c r="B547" s="72" t="s">
        <v>153</v>
      </c>
      <c r="C547" s="72" t="s">
        <v>9</v>
      </c>
      <c r="D547" s="72" t="s">
        <v>154</v>
      </c>
      <c r="E547" s="73">
        <v>500.0</v>
      </c>
    </row>
    <row r="548" ht="15.75" hidden="1" customHeight="1">
      <c r="A548" s="75">
        <v>46187.0</v>
      </c>
      <c r="B548" s="72" t="s">
        <v>153</v>
      </c>
      <c r="C548" s="72" t="s">
        <v>9</v>
      </c>
      <c r="D548" s="72" t="s">
        <v>390</v>
      </c>
      <c r="E548" s="73">
        <v>30.0</v>
      </c>
    </row>
    <row r="549" ht="15.75" hidden="1" customHeight="1">
      <c r="A549" s="75">
        <v>46187.0</v>
      </c>
      <c r="B549" s="72" t="s">
        <v>166</v>
      </c>
      <c r="C549" s="72" t="s">
        <v>161</v>
      </c>
      <c r="D549" s="72" t="s">
        <v>390</v>
      </c>
      <c r="E549" s="73">
        <v>0.0</v>
      </c>
    </row>
    <row r="550" ht="15.75" hidden="1" customHeight="1">
      <c r="A550" s="75">
        <v>46188.0</v>
      </c>
      <c r="B550" s="72" t="s">
        <v>150</v>
      </c>
      <c r="C550" s="72" t="s">
        <v>119</v>
      </c>
      <c r="D550" s="72" t="s">
        <v>393</v>
      </c>
      <c r="E550" s="73">
        <v>-16200.0</v>
      </c>
    </row>
    <row r="551" ht="15.75" hidden="1" customHeight="1">
      <c r="A551" s="75">
        <v>46188.0</v>
      </c>
      <c r="B551" s="72" t="s">
        <v>150</v>
      </c>
      <c r="C551" s="72" t="s">
        <v>126</v>
      </c>
      <c r="D551" s="72" t="s">
        <v>362</v>
      </c>
      <c r="E551" s="73">
        <v>-4000.0</v>
      </c>
    </row>
    <row r="552" ht="15.75" hidden="1" customHeight="1">
      <c r="A552" s="75">
        <v>46188.0</v>
      </c>
      <c r="B552" s="72" t="s">
        <v>153</v>
      </c>
      <c r="C552" s="72" t="s">
        <v>9</v>
      </c>
      <c r="D552" s="72" t="s">
        <v>154</v>
      </c>
      <c r="E552" s="73">
        <v>20.0</v>
      </c>
    </row>
    <row r="553" ht="15.75" hidden="1" customHeight="1">
      <c r="A553" s="75">
        <v>46188.0</v>
      </c>
      <c r="B553" s="72" t="s">
        <v>150</v>
      </c>
      <c r="C553" s="72" t="s">
        <v>122</v>
      </c>
      <c r="D553" s="72" t="s">
        <v>394</v>
      </c>
      <c r="E553" s="73">
        <v>-6000.0</v>
      </c>
    </row>
    <row r="554" ht="15.75" hidden="1" customHeight="1">
      <c r="A554" s="75">
        <v>46188.0</v>
      </c>
      <c r="B554" s="72" t="s">
        <v>153</v>
      </c>
      <c r="C554" s="72" t="s">
        <v>9</v>
      </c>
      <c r="D554" s="72" t="s">
        <v>154</v>
      </c>
      <c r="E554" s="73">
        <v>30.0</v>
      </c>
    </row>
    <row r="555" ht="15.75" hidden="1" customHeight="1">
      <c r="A555" s="75">
        <v>46188.0</v>
      </c>
      <c r="B555" s="72" t="s">
        <v>150</v>
      </c>
      <c r="C555" s="72" t="s">
        <v>130</v>
      </c>
      <c r="D555" s="72" t="s">
        <v>395</v>
      </c>
      <c r="E555" s="73">
        <v>-1600.0</v>
      </c>
    </row>
    <row r="556" ht="15.75" hidden="1" customHeight="1">
      <c r="A556" s="75">
        <v>46188.0</v>
      </c>
      <c r="B556" s="72" t="s">
        <v>153</v>
      </c>
      <c r="C556" s="72" t="s">
        <v>9</v>
      </c>
      <c r="D556" s="72" t="s">
        <v>154</v>
      </c>
      <c r="E556" s="73">
        <v>8.0</v>
      </c>
    </row>
    <row r="557" ht="15.75" hidden="1" customHeight="1">
      <c r="A557" s="75">
        <v>46188.0</v>
      </c>
      <c r="B557" s="72" t="s">
        <v>150</v>
      </c>
      <c r="C557" s="72" t="s">
        <v>130</v>
      </c>
      <c r="D557" s="72" t="s">
        <v>396</v>
      </c>
      <c r="E557" s="73">
        <v>-50005.0</v>
      </c>
    </row>
    <row r="558" ht="15.75" hidden="1" customHeight="1">
      <c r="A558" s="75">
        <v>46188.0</v>
      </c>
      <c r="B558" s="72" t="s">
        <v>166</v>
      </c>
      <c r="C558" s="72" t="s">
        <v>243</v>
      </c>
      <c r="D558" s="72" t="s">
        <v>244</v>
      </c>
      <c r="E558" s="73">
        <v>-423987.0</v>
      </c>
    </row>
    <row r="559" ht="15.75" hidden="1" customHeight="1">
      <c r="A559" s="75">
        <v>46188.0</v>
      </c>
      <c r="B559" s="72" t="s">
        <v>150</v>
      </c>
      <c r="C559" s="72" t="s">
        <v>131</v>
      </c>
      <c r="D559" s="72" t="s">
        <v>325</v>
      </c>
      <c r="E559" s="73">
        <v>-3500.0</v>
      </c>
    </row>
    <row r="560" ht="15.75" hidden="1" customHeight="1">
      <c r="A560" s="75">
        <v>46188.0</v>
      </c>
      <c r="B560" s="72" t="s">
        <v>153</v>
      </c>
      <c r="C560" s="72" t="s">
        <v>9</v>
      </c>
      <c r="D560" s="72" t="s">
        <v>154</v>
      </c>
      <c r="E560" s="73">
        <v>17.0</v>
      </c>
    </row>
    <row r="561" ht="15.75" hidden="1" customHeight="1">
      <c r="A561" s="75">
        <v>46188.0</v>
      </c>
      <c r="B561" s="72" t="s">
        <v>150</v>
      </c>
      <c r="C561" s="72" t="s">
        <v>126</v>
      </c>
      <c r="D561" s="72" t="s">
        <v>397</v>
      </c>
      <c r="E561" s="73">
        <v>-9000.0</v>
      </c>
    </row>
    <row r="562" ht="15.75" hidden="1" customHeight="1">
      <c r="A562" s="75">
        <v>46188.0</v>
      </c>
      <c r="B562" s="72" t="s">
        <v>153</v>
      </c>
      <c r="C562" s="72" t="s">
        <v>9</v>
      </c>
      <c r="D562" s="72" t="s">
        <v>154</v>
      </c>
      <c r="E562" s="73">
        <v>45.0</v>
      </c>
    </row>
    <row r="563" ht="15.75" hidden="1" customHeight="1">
      <c r="A563" s="75">
        <v>46189.0</v>
      </c>
      <c r="B563" s="72" t="s">
        <v>150</v>
      </c>
      <c r="C563" s="72" t="s">
        <v>122</v>
      </c>
      <c r="D563" s="72" t="s">
        <v>398</v>
      </c>
      <c r="E563" s="73">
        <v>-3300.0</v>
      </c>
    </row>
    <row r="564" ht="15.75" hidden="1" customHeight="1">
      <c r="A564" s="75">
        <v>46189.0</v>
      </c>
      <c r="B564" s="72" t="s">
        <v>153</v>
      </c>
      <c r="C564" s="72" t="s">
        <v>9</v>
      </c>
      <c r="D564" s="72" t="s">
        <v>154</v>
      </c>
      <c r="E564" s="73">
        <v>16.0</v>
      </c>
    </row>
    <row r="565" ht="15.75" hidden="1" customHeight="1">
      <c r="A565" s="75">
        <v>46189.0</v>
      </c>
      <c r="B565" s="72" t="s">
        <v>150</v>
      </c>
      <c r="C565" s="72" t="s">
        <v>130</v>
      </c>
      <c r="D565" s="72" t="s">
        <v>399</v>
      </c>
      <c r="E565" s="73">
        <v>-9000.0</v>
      </c>
    </row>
    <row r="566" ht="15.75" hidden="1" customHeight="1">
      <c r="A566" s="75">
        <v>46189.0</v>
      </c>
      <c r="B566" s="72" t="s">
        <v>153</v>
      </c>
      <c r="C566" s="72" t="s">
        <v>9</v>
      </c>
      <c r="D566" s="72" t="s">
        <v>154</v>
      </c>
      <c r="E566" s="73">
        <v>45.0</v>
      </c>
    </row>
    <row r="567" ht="15.75" hidden="1" customHeight="1">
      <c r="A567" s="75">
        <v>46189.0</v>
      </c>
      <c r="B567" s="72" t="s">
        <v>150</v>
      </c>
      <c r="C567" s="72" t="s">
        <v>122</v>
      </c>
      <c r="D567" s="72" t="s">
        <v>223</v>
      </c>
      <c r="E567" s="73">
        <v>-29000.0</v>
      </c>
    </row>
    <row r="568" ht="15.75" hidden="1" customHeight="1">
      <c r="A568" s="75">
        <v>46189.0</v>
      </c>
      <c r="B568" s="72" t="s">
        <v>150</v>
      </c>
      <c r="C568" s="72" t="s">
        <v>119</v>
      </c>
      <c r="D568" s="72" t="s">
        <v>400</v>
      </c>
      <c r="E568" s="73">
        <v>-9965.0</v>
      </c>
    </row>
    <row r="569" ht="15.75" hidden="1" customHeight="1">
      <c r="A569" s="75">
        <v>46189.0</v>
      </c>
      <c r="B569" s="72" t="s">
        <v>153</v>
      </c>
      <c r="C569" s="72" t="s">
        <v>210</v>
      </c>
      <c r="D569" s="72" t="s">
        <v>220</v>
      </c>
      <c r="E569" s="73">
        <v>104713.0</v>
      </c>
      <c r="F569" s="76" t="s">
        <v>212</v>
      </c>
    </row>
    <row r="570" ht="15.75" hidden="1" customHeight="1">
      <c r="A570" s="75">
        <v>46189.0</v>
      </c>
      <c r="B570" s="72" t="s">
        <v>150</v>
      </c>
      <c r="C570" s="72" t="s">
        <v>126</v>
      </c>
      <c r="D570" s="72" t="s">
        <v>360</v>
      </c>
      <c r="E570" s="73">
        <v>-182800.0</v>
      </c>
      <c r="F570" s="76" t="s">
        <v>208</v>
      </c>
    </row>
    <row r="571" ht="15.75" hidden="1" customHeight="1">
      <c r="A571" s="75">
        <v>46190.0</v>
      </c>
      <c r="B571" s="72" t="s">
        <v>150</v>
      </c>
      <c r="C571" s="72" t="s">
        <v>130</v>
      </c>
      <c r="D571" s="72" t="s">
        <v>369</v>
      </c>
      <c r="E571" s="73">
        <v>-2500.0</v>
      </c>
    </row>
    <row r="572" ht="15.75" hidden="1" customHeight="1">
      <c r="A572" s="75">
        <v>46190.0</v>
      </c>
      <c r="B572" s="72" t="s">
        <v>153</v>
      </c>
      <c r="C572" s="72" t="s">
        <v>9</v>
      </c>
      <c r="D572" s="72" t="s">
        <v>154</v>
      </c>
      <c r="E572" s="73">
        <v>12.0</v>
      </c>
    </row>
    <row r="573" ht="15.75" hidden="1" customHeight="1">
      <c r="A573" s="75">
        <v>46190.0</v>
      </c>
      <c r="B573" s="72" t="s">
        <v>150</v>
      </c>
      <c r="C573" s="72" t="s">
        <v>131</v>
      </c>
      <c r="D573" s="72" t="s">
        <v>223</v>
      </c>
      <c r="E573" s="73">
        <v>-21800.0</v>
      </c>
    </row>
    <row r="574" ht="15.75" hidden="1" customHeight="1">
      <c r="A574" s="75">
        <v>46190.0</v>
      </c>
      <c r="B574" s="72" t="s">
        <v>153</v>
      </c>
      <c r="C574" s="72" t="s">
        <v>9</v>
      </c>
      <c r="D574" s="72" t="s">
        <v>337</v>
      </c>
      <c r="E574" s="73">
        <v>105.0</v>
      </c>
    </row>
    <row r="575" ht="15.75" hidden="1" customHeight="1">
      <c r="A575" s="75">
        <v>46190.0</v>
      </c>
      <c r="B575" s="72" t="s">
        <v>166</v>
      </c>
      <c r="C575" s="72" t="s">
        <v>166</v>
      </c>
      <c r="D575" s="72" t="s">
        <v>192</v>
      </c>
      <c r="E575" s="73">
        <v>-100000.0</v>
      </c>
    </row>
    <row r="576" ht="15.75" hidden="1" customHeight="1">
      <c r="A576" s="75">
        <v>46190.0</v>
      </c>
      <c r="B576" s="72" t="s">
        <v>150</v>
      </c>
      <c r="C576" s="72" t="s">
        <v>128</v>
      </c>
      <c r="D576" s="72" t="s">
        <v>401</v>
      </c>
      <c r="E576" s="73">
        <v>-50000.0</v>
      </c>
    </row>
    <row r="577" ht="15.75" hidden="1" customHeight="1">
      <c r="A577" s="75">
        <v>46190.0</v>
      </c>
      <c r="B577" s="72" t="s">
        <v>153</v>
      </c>
      <c r="C577" s="72" t="s">
        <v>210</v>
      </c>
      <c r="D577" s="72" t="s">
        <v>220</v>
      </c>
      <c r="E577" s="73">
        <v>211431.0</v>
      </c>
      <c r="F577" s="76" t="s">
        <v>212</v>
      </c>
    </row>
    <row r="578" ht="15.75" hidden="1" customHeight="1">
      <c r="A578" s="75">
        <v>46190.0</v>
      </c>
      <c r="B578" s="72" t="s">
        <v>166</v>
      </c>
      <c r="C578" s="72" t="s">
        <v>166</v>
      </c>
      <c r="D578" s="72" t="s">
        <v>192</v>
      </c>
      <c r="E578" s="73">
        <v>-150000.0</v>
      </c>
    </row>
    <row r="579" ht="15.75" hidden="1" customHeight="1">
      <c r="A579" s="75">
        <v>46190.0</v>
      </c>
      <c r="B579" s="72" t="s">
        <v>166</v>
      </c>
      <c r="C579" s="72" t="s">
        <v>179</v>
      </c>
      <c r="D579" s="72" t="s">
        <v>248</v>
      </c>
      <c r="E579" s="73">
        <v>100000.0</v>
      </c>
    </row>
    <row r="580" ht="15.75" hidden="1" customHeight="1">
      <c r="A580" s="75">
        <v>46190.0</v>
      </c>
      <c r="B580" s="72" t="s">
        <v>166</v>
      </c>
      <c r="C580" s="72" t="s">
        <v>179</v>
      </c>
      <c r="D580" s="72" t="s">
        <v>402</v>
      </c>
      <c r="E580" s="73">
        <v>-100000.0</v>
      </c>
    </row>
    <row r="581" ht="15.75" hidden="1" customHeight="1">
      <c r="A581" s="75">
        <v>46190.0</v>
      </c>
      <c r="B581" s="72" t="s">
        <v>150</v>
      </c>
      <c r="C581" s="72" t="s">
        <v>129</v>
      </c>
      <c r="D581" s="72" t="s">
        <v>403</v>
      </c>
      <c r="E581" s="73">
        <v>-44100.0</v>
      </c>
    </row>
    <row r="582" ht="15.75" hidden="1" customHeight="1">
      <c r="A582" s="75">
        <v>46190.0</v>
      </c>
      <c r="B582" s="72" t="s">
        <v>153</v>
      </c>
      <c r="C582" s="72" t="s">
        <v>9</v>
      </c>
      <c r="D582" s="72" t="s">
        <v>154</v>
      </c>
      <c r="E582" s="73">
        <v>441.0</v>
      </c>
    </row>
    <row r="583" ht="15.75" hidden="1" customHeight="1">
      <c r="A583" s="75">
        <v>46190.0</v>
      </c>
      <c r="B583" s="72" t="s">
        <v>150</v>
      </c>
      <c r="C583" s="72" t="s">
        <v>126</v>
      </c>
      <c r="D583" s="72" t="s">
        <v>360</v>
      </c>
      <c r="E583" s="73">
        <v>-182800.0</v>
      </c>
      <c r="F583" s="76" t="s">
        <v>208</v>
      </c>
    </row>
    <row r="584" ht="15.75" hidden="1" customHeight="1">
      <c r="A584" s="75">
        <v>46191.0</v>
      </c>
      <c r="B584" s="72" t="s">
        <v>150</v>
      </c>
      <c r="C584" s="72" t="s">
        <v>116</v>
      </c>
      <c r="D584" s="72" t="s">
        <v>267</v>
      </c>
      <c r="E584" s="73">
        <v>-32430.0</v>
      </c>
    </row>
    <row r="585" ht="15.75" hidden="1" customHeight="1">
      <c r="A585" s="75">
        <v>46191.0</v>
      </c>
      <c r="B585" s="72" t="s">
        <v>150</v>
      </c>
      <c r="C585" s="72" t="s">
        <v>116</v>
      </c>
      <c r="D585" s="72" t="s">
        <v>267</v>
      </c>
      <c r="E585" s="73">
        <v>-1370.0</v>
      </c>
    </row>
    <row r="586" ht="15.75" hidden="1" customHeight="1">
      <c r="A586" s="75">
        <v>46191.0</v>
      </c>
      <c r="B586" s="72" t="s">
        <v>150</v>
      </c>
      <c r="C586" s="72" t="s">
        <v>130</v>
      </c>
      <c r="D586" s="72" t="s">
        <v>369</v>
      </c>
      <c r="E586" s="73">
        <v>-2000.0</v>
      </c>
    </row>
    <row r="587" ht="15.75" hidden="1" customHeight="1">
      <c r="A587" s="75">
        <v>46191.0</v>
      </c>
      <c r="B587" s="72" t="s">
        <v>153</v>
      </c>
      <c r="C587" s="72" t="s">
        <v>9</v>
      </c>
      <c r="D587" s="72" t="s">
        <v>154</v>
      </c>
      <c r="E587" s="73">
        <v>10.0</v>
      </c>
    </row>
    <row r="588" ht="15.75" hidden="1" customHeight="1">
      <c r="A588" s="75">
        <v>46191.0</v>
      </c>
      <c r="B588" s="72" t="s">
        <v>150</v>
      </c>
      <c r="C588" s="72" t="s">
        <v>130</v>
      </c>
      <c r="D588" s="72" t="s">
        <v>404</v>
      </c>
      <c r="E588" s="73">
        <v>-14800.0</v>
      </c>
    </row>
    <row r="589" ht="15.75" hidden="1" customHeight="1">
      <c r="A589" s="75">
        <v>46191.0</v>
      </c>
      <c r="B589" s="72" t="s">
        <v>150</v>
      </c>
      <c r="C589" s="72" t="s">
        <v>131</v>
      </c>
      <c r="D589" s="72" t="s">
        <v>405</v>
      </c>
      <c r="E589" s="73">
        <v>-3200.0</v>
      </c>
    </row>
    <row r="590" ht="15.75" hidden="1" customHeight="1">
      <c r="A590" s="75">
        <v>46191.0</v>
      </c>
      <c r="B590" s="72" t="s">
        <v>153</v>
      </c>
      <c r="C590" s="72" t="s">
        <v>9</v>
      </c>
      <c r="D590" s="72" t="s">
        <v>154</v>
      </c>
      <c r="E590" s="73">
        <v>16.0</v>
      </c>
    </row>
    <row r="591" ht="15.75" hidden="1" customHeight="1">
      <c r="A591" s="75">
        <v>46191.0</v>
      </c>
      <c r="B591" s="72" t="s">
        <v>150</v>
      </c>
      <c r="C591" s="72" t="s">
        <v>124</v>
      </c>
      <c r="D591" s="72" t="s">
        <v>273</v>
      </c>
      <c r="E591" s="73">
        <v>-20000.0</v>
      </c>
    </row>
    <row r="592" ht="15.75" hidden="1" customHeight="1">
      <c r="A592" s="75">
        <v>46191.0</v>
      </c>
      <c r="B592" s="72" t="s">
        <v>150</v>
      </c>
      <c r="C592" s="72" t="s">
        <v>131</v>
      </c>
      <c r="D592" s="72" t="s">
        <v>242</v>
      </c>
      <c r="E592" s="73">
        <v>-6400.0</v>
      </c>
    </row>
    <row r="593" ht="15.75" hidden="1" customHeight="1">
      <c r="A593" s="75">
        <v>46191.0</v>
      </c>
      <c r="B593" s="72" t="s">
        <v>153</v>
      </c>
      <c r="C593" s="72" t="s">
        <v>9</v>
      </c>
      <c r="D593" s="72" t="s">
        <v>154</v>
      </c>
      <c r="E593" s="73">
        <v>32.0</v>
      </c>
    </row>
    <row r="594" ht="15.75" hidden="1" customHeight="1">
      <c r="A594" s="75">
        <v>46191.0</v>
      </c>
      <c r="B594" s="72" t="s">
        <v>150</v>
      </c>
      <c r="C594" s="72" t="s">
        <v>126</v>
      </c>
      <c r="D594" s="72" t="s">
        <v>360</v>
      </c>
      <c r="E594" s="73">
        <v>-182800.0</v>
      </c>
      <c r="F594" s="76" t="s">
        <v>208</v>
      </c>
    </row>
    <row r="595" ht="15.75" hidden="1" customHeight="1">
      <c r="A595" s="75">
        <v>46191.0</v>
      </c>
      <c r="B595" s="72" t="s">
        <v>153</v>
      </c>
      <c r="C595" s="72" t="s">
        <v>210</v>
      </c>
      <c r="D595" s="72" t="s">
        <v>220</v>
      </c>
      <c r="E595" s="73">
        <v>105716.0</v>
      </c>
      <c r="F595" s="76" t="s">
        <v>212</v>
      </c>
    </row>
    <row r="596" ht="15.75" hidden="1" customHeight="1">
      <c r="A596" s="75">
        <v>46191.0</v>
      </c>
      <c r="B596" s="72" t="s">
        <v>150</v>
      </c>
      <c r="C596" s="72" t="s">
        <v>122</v>
      </c>
      <c r="D596" s="72" t="s">
        <v>219</v>
      </c>
      <c r="E596" s="73">
        <v>-4960.0</v>
      </c>
    </row>
    <row r="597" ht="15.75" hidden="1" customHeight="1">
      <c r="A597" s="75">
        <v>46192.0</v>
      </c>
      <c r="B597" s="72" t="s">
        <v>153</v>
      </c>
      <c r="C597" s="72" t="s">
        <v>3</v>
      </c>
      <c r="D597" s="72" t="s">
        <v>283</v>
      </c>
      <c r="E597" s="73">
        <v>3984400.0</v>
      </c>
    </row>
    <row r="598" ht="15.75" hidden="1" customHeight="1">
      <c r="A598" s="75">
        <v>46192.0</v>
      </c>
      <c r="B598" s="72" t="s">
        <v>166</v>
      </c>
      <c r="C598" s="72" t="s">
        <v>179</v>
      </c>
      <c r="D598" s="72" t="s">
        <v>186</v>
      </c>
      <c r="E598" s="73">
        <v>-3984400.0</v>
      </c>
    </row>
    <row r="599" ht="15.75" hidden="1" customHeight="1">
      <c r="A599" s="75">
        <v>46192.0</v>
      </c>
      <c r="B599" s="72" t="s">
        <v>166</v>
      </c>
      <c r="C599" s="72" t="s">
        <v>179</v>
      </c>
      <c r="D599" s="72" t="s">
        <v>187</v>
      </c>
      <c r="E599" s="73">
        <v>3984400.0</v>
      </c>
    </row>
    <row r="600" ht="15.75" hidden="1" customHeight="1">
      <c r="A600" s="75">
        <v>46192.0</v>
      </c>
      <c r="B600" s="72" t="s">
        <v>166</v>
      </c>
      <c r="C600" s="72" t="s">
        <v>179</v>
      </c>
      <c r="D600" s="72" t="s">
        <v>186</v>
      </c>
      <c r="E600" s="73">
        <v>-2000000.0</v>
      </c>
    </row>
    <row r="601" ht="15.75" hidden="1" customHeight="1">
      <c r="A601" s="75">
        <v>46192.0</v>
      </c>
      <c r="B601" s="72" t="s">
        <v>153</v>
      </c>
      <c r="C601" s="72" t="s">
        <v>9</v>
      </c>
      <c r="D601" s="72" t="s">
        <v>337</v>
      </c>
      <c r="E601" s="73">
        <v>75.0</v>
      </c>
    </row>
    <row r="602" ht="15.75" hidden="1" customHeight="1">
      <c r="A602" s="75">
        <v>46192.0</v>
      </c>
      <c r="B602" s="72" t="s">
        <v>150</v>
      </c>
      <c r="C602" s="72" t="s">
        <v>113</v>
      </c>
      <c r="D602" s="72" t="s">
        <v>278</v>
      </c>
      <c r="E602" s="73">
        <v>-87124.0</v>
      </c>
    </row>
    <row r="603" ht="15.75" hidden="1" customHeight="1">
      <c r="A603" s="75">
        <v>46192.0</v>
      </c>
      <c r="B603" s="72" t="s">
        <v>153</v>
      </c>
      <c r="C603" s="72" t="s">
        <v>9</v>
      </c>
      <c r="D603" s="72" t="s">
        <v>406</v>
      </c>
      <c r="E603" s="73">
        <v>19200.0</v>
      </c>
    </row>
    <row r="604" ht="15.75" hidden="1" customHeight="1">
      <c r="A604" s="75">
        <v>46192.0</v>
      </c>
      <c r="B604" s="72" t="s">
        <v>150</v>
      </c>
      <c r="C604" s="72" t="s">
        <v>124</v>
      </c>
      <c r="D604" s="72" t="s">
        <v>151</v>
      </c>
      <c r="E604" s="73">
        <v>-17630.0</v>
      </c>
    </row>
    <row r="605" ht="15.75" hidden="1" customHeight="1">
      <c r="A605" s="75">
        <v>46192.0</v>
      </c>
      <c r="B605" s="72" t="s">
        <v>150</v>
      </c>
      <c r="C605" s="72" t="s">
        <v>130</v>
      </c>
      <c r="D605" s="72" t="s">
        <v>407</v>
      </c>
      <c r="E605" s="73">
        <v>-4300.0</v>
      </c>
    </row>
    <row r="606" ht="15.75" hidden="1" customHeight="1">
      <c r="A606" s="75">
        <v>46192.0</v>
      </c>
      <c r="B606" s="72" t="s">
        <v>153</v>
      </c>
      <c r="C606" s="72" t="s">
        <v>9</v>
      </c>
      <c r="D606" s="72" t="s">
        <v>154</v>
      </c>
      <c r="E606" s="73">
        <v>21.0</v>
      </c>
    </row>
    <row r="607" ht="15.75" hidden="1" customHeight="1">
      <c r="A607" s="75">
        <v>46192.0</v>
      </c>
      <c r="B607" s="72" t="s">
        <v>150</v>
      </c>
      <c r="C607" s="72" t="s">
        <v>122</v>
      </c>
      <c r="D607" s="72" t="s">
        <v>219</v>
      </c>
      <c r="E607" s="73">
        <v>-12850.0</v>
      </c>
    </row>
    <row r="608" ht="15.75" hidden="1" customHeight="1">
      <c r="A608" s="75">
        <v>46192.0</v>
      </c>
      <c r="B608" s="72" t="s">
        <v>153</v>
      </c>
      <c r="C608" s="72" t="s">
        <v>9</v>
      </c>
      <c r="D608" s="72" t="s">
        <v>154</v>
      </c>
      <c r="E608" s="73">
        <v>64.0</v>
      </c>
    </row>
    <row r="609" ht="15.75" hidden="1" customHeight="1">
      <c r="A609" s="75">
        <v>46192.0</v>
      </c>
      <c r="B609" s="72" t="s">
        <v>153</v>
      </c>
      <c r="C609" s="72" t="s">
        <v>6</v>
      </c>
      <c r="D609" s="72" t="s">
        <v>187</v>
      </c>
      <c r="E609" s="73">
        <v>4428335.0</v>
      </c>
    </row>
    <row r="610" ht="15.75" hidden="1" customHeight="1">
      <c r="A610" s="75">
        <v>46192.0</v>
      </c>
      <c r="B610" s="72" t="s">
        <v>166</v>
      </c>
      <c r="C610" s="72" t="s">
        <v>166</v>
      </c>
      <c r="D610" s="72" t="s">
        <v>186</v>
      </c>
      <c r="E610" s="73">
        <v>-3400000.0</v>
      </c>
    </row>
    <row r="611" ht="15.75" hidden="1" customHeight="1">
      <c r="A611" s="75">
        <v>46192.0</v>
      </c>
      <c r="B611" s="72" t="s">
        <v>166</v>
      </c>
      <c r="C611" s="72" t="s">
        <v>179</v>
      </c>
      <c r="D611" s="72" t="s">
        <v>248</v>
      </c>
      <c r="E611" s="73">
        <v>-900000.0</v>
      </c>
    </row>
    <row r="612" ht="15.75" hidden="1" customHeight="1">
      <c r="A612" s="75">
        <v>46192.0</v>
      </c>
      <c r="B612" s="72" t="s">
        <v>166</v>
      </c>
      <c r="C612" s="72" t="s">
        <v>179</v>
      </c>
      <c r="D612" s="72" t="s">
        <v>248</v>
      </c>
      <c r="E612" s="73">
        <v>900000.0</v>
      </c>
    </row>
    <row r="613" ht="15.75" hidden="1" customHeight="1">
      <c r="A613" s="75">
        <v>46192.0</v>
      </c>
      <c r="B613" s="72" t="s">
        <v>166</v>
      </c>
      <c r="C613" s="72" t="s">
        <v>166</v>
      </c>
      <c r="D613" s="72" t="s">
        <v>186</v>
      </c>
      <c r="E613" s="73">
        <v>1400000.0</v>
      </c>
    </row>
    <row r="614" ht="15.75" hidden="1" customHeight="1">
      <c r="A614" s="75">
        <v>46192.0</v>
      </c>
      <c r="B614" s="72" t="s">
        <v>150</v>
      </c>
      <c r="C614" s="72" t="s">
        <v>131</v>
      </c>
      <c r="D614" s="72" t="s">
        <v>408</v>
      </c>
      <c r="E614" s="73">
        <v>-6000.0</v>
      </c>
    </row>
    <row r="615" ht="15.75" hidden="1" customHeight="1">
      <c r="A615" s="75">
        <v>46192.0</v>
      </c>
      <c r="B615" s="72" t="s">
        <v>153</v>
      </c>
      <c r="C615" s="72" t="s">
        <v>9</v>
      </c>
      <c r="D615" s="72" t="s">
        <v>154</v>
      </c>
      <c r="E615" s="73">
        <v>30.0</v>
      </c>
    </row>
    <row r="616" ht="15.75" hidden="1" customHeight="1">
      <c r="A616" s="75">
        <v>46192.0</v>
      </c>
      <c r="B616" s="72" t="s">
        <v>153</v>
      </c>
      <c r="C616" s="72" t="s">
        <v>210</v>
      </c>
      <c r="D616" s="72" t="s">
        <v>220</v>
      </c>
      <c r="E616" s="73">
        <v>267752.0</v>
      </c>
      <c r="F616" s="76" t="s">
        <v>212</v>
      </c>
    </row>
    <row r="617" ht="15.75" hidden="1" customHeight="1">
      <c r="A617" s="75">
        <v>46192.0</v>
      </c>
      <c r="B617" s="72" t="s">
        <v>166</v>
      </c>
      <c r="C617" s="72" t="s">
        <v>166</v>
      </c>
      <c r="D617" s="72" t="s">
        <v>192</v>
      </c>
      <c r="E617" s="73">
        <v>-270000.0</v>
      </c>
    </row>
    <row r="618" ht="15.75" hidden="1" customHeight="1">
      <c r="A618" s="75">
        <v>46192.0</v>
      </c>
      <c r="B618" s="72" t="s">
        <v>150</v>
      </c>
      <c r="C618" s="72" t="s">
        <v>117</v>
      </c>
      <c r="D618" s="72" t="s">
        <v>275</v>
      </c>
      <c r="E618" s="73">
        <v>-3668.0</v>
      </c>
    </row>
    <row r="619" ht="15.75" hidden="1" customHeight="1">
      <c r="A619" s="75">
        <v>46192.0</v>
      </c>
      <c r="B619" s="72" t="s">
        <v>150</v>
      </c>
      <c r="C619" s="72" t="s">
        <v>117</v>
      </c>
      <c r="D619" s="72" t="s">
        <v>275</v>
      </c>
      <c r="E619" s="73">
        <v>-1232.0</v>
      </c>
    </row>
    <row r="620" ht="15.75" hidden="1" customHeight="1">
      <c r="A620" s="75">
        <v>46192.0</v>
      </c>
      <c r="B620" s="72" t="s">
        <v>150</v>
      </c>
      <c r="C620" s="72" t="s">
        <v>131</v>
      </c>
      <c r="D620" s="72" t="s">
        <v>219</v>
      </c>
      <c r="E620" s="73">
        <v>-3970.0</v>
      </c>
    </row>
    <row r="621" ht="15.75" hidden="1" customHeight="1">
      <c r="A621" s="75">
        <v>46192.0</v>
      </c>
      <c r="B621" s="72" t="s">
        <v>153</v>
      </c>
      <c r="C621" s="72" t="s">
        <v>9</v>
      </c>
      <c r="D621" s="72" t="s">
        <v>154</v>
      </c>
      <c r="E621" s="73">
        <v>19.0</v>
      </c>
    </row>
    <row r="622" ht="15.75" hidden="1" customHeight="1">
      <c r="A622" s="75">
        <v>46192.0</v>
      </c>
      <c r="B622" s="72" t="s">
        <v>150</v>
      </c>
      <c r="C622" s="72" t="s">
        <v>122</v>
      </c>
      <c r="D622" s="72" t="s">
        <v>158</v>
      </c>
      <c r="E622" s="73">
        <v>-57800.0</v>
      </c>
    </row>
    <row r="623" ht="15.75" hidden="1" customHeight="1">
      <c r="A623" s="75">
        <v>46193.0</v>
      </c>
      <c r="B623" s="72" t="s">
        <v>166</v>
      </c>
      <c r="C623" s="72" t="s">
        <v>161</v>
      </c>
      <c r="D623" s="72" t="s">
        <v>409</v>
      </c>
      <c r="E623" s="73">
        <v>0.0</v>
      </c>
    </row>
    <row r="624" ht="15.75" hidden="1" customHeight="1">
      <c r="A624" s="75">
        <v>46193.0</v>
      </c>
      <c r="B624" s="72" t="s">
        <v>153</v>
      </c>
      <c r="C624" s="72" t="s">
        <v>9</v>
      </c>
      <c r="D624" s="72" t="s">
        <v>180</v>
      </c>
      <c r="E624" s="73">
        <v>2478.0</v>
      </c>
    </row>
    <row r="625" ht="15.75" hidden="1" customHeight="1">
      <c r="A625" s="75">
        <v>46193.0</v>
      </c>
      <c r="B625" s="72" t="s">
        <v>153</v>
      </c>
      <c r="C625" s="72" t="s">
        <v>9</v>
      </c>
      <c r="D625" s="72" t="s">
        <v>337</v>
      </c>
      <c r="E625" s="73">
        <v>60.0</v>
      </c>
    </row>
    <row r="626" ht="15.75" hidden="1" customHeight="1">
      <c r="A626" s="75">
        <v>46193.0</v>
      </c>
      <c r="B626" s="72" t="s">
        <v>153</v>
      </c>
      <c r="C626" s="72" t="s">
        <v>9</v>
      </c>
      <c r="D626" s="72" t="s">
        <v>410</v>
      </c>
      <c r="E626" s="73">
        <v>4.0</v>
      </c>
    </row>
    <row r="627" ht="15.75" hidden="1" customHeight="1">
      <c r="A627" s="75">
        <v>46193.0</v>
      </c>
      <c r="B627" s="72" t="s">
        <v>166</v>
      </c>
      <c r="C627" s="72" t="s">
        <v>161</v>
      </c>
      <c r="D627" s="72" t="s">
        <v>409</v>
      </c>
      <c r="E627" s="73">
        <v>0.0</v>
      </c>
    </row>
    <row r="628" ht="15.75" hidden="1" customHeight="1">
      <c r="A628" s="75">
        <v>46193.0</v>
      </c>
      <c r="B628" s="72" t="s">
        <v>153</v>
      </c>
      <c r="C628" s="72" t="s">
        <v>9</v>
      </c>
      <c r="D628" s="72" t="s">
        <v>411</v>
      </c>
      <c r="E628" s="73">
        <v>1.0</v>
      </c>
    </row>
    <row r="629" ht="15.75" hidden="1" customHeight="1">
      <c r="A629" s="75">
        <v>46193.0</v>
      </c>
      <c r="B629" s="72" t="s">
        <v>153</v>
      </c>
      <c r="C629" s="72" t="s">
        <v>9</v>
      </c>
      <c r="D629" s="72" t="s">
        <v>410</v>
      </c>
      <c r="E629" s="73">
        <v>266.0</v>
      </c>
    </row>
    <row r="630" ht="15.75" hidden="1" customHeight="1">
      <c r="A630" s="75">
        <v>46193.0</v>
      </c>
      <c r="B630" s="72" t="s">
        <v>150</v>
      </c>
      <c r="C630" s="72" t="s">
        <v>122</v>
      </c>
      <c r="D630" s="72" t="s">
        <v>369</v>
      </c>
      <c r="E630" s="73">
        <v>-6000.0</v>
      </c>
    </row>
    <row r="631" ht="15.75" hidden="1" customHeight="1">
      <c r="A631" s="75">
        <v>46193.0</v>
      </c>
      <c r="B631" s="72" t="s">
        <v>150</v>
      </c>
      <c r="C631" s="72" t="s">
        <v>124</v>
      </c>
      <c r="D631" s="72" t="s">
        <v>412</v>
      </c>
      <c r="E631" s="73">
        <v>-30000.0</v>
      </c>
    </row>
    <row r="632" ht="15.75" hidden="1" customHeight="1">
      <c r="A632" s="75">
        <v>46194.0</v>
      </c>
      <c r="B632" s="72" t="s">
        <v>150</v>
      </c>
      <c r="C632" s="72" t="s">
        <v>122</v>
      </c>
      <c r="D632" s="72" t="s">
        <v>219</v>
      </c>
      <c r="E632" s="73">
        <v>-5950.0</v>
      </c>
    </row>
    <row r="633" ht="15.75" hidden="1" customHeight="1">
      <c r="A633" s="75">
        <v>46194.0</v>
      </c>
      <c r="B633" s="72" t="s">
        <v>150</v>
      </c>
      <c r="C633" s="72" t="s">
        <v>124</v>
      </c>
      <c r="D633" s="72" t="s">
        <v>413</v>
      </c>
      <c r="E633" s="73">
        <v>-49999.0</v>
      </c>
    </row>
    <row r="634" ht="15.75" hidden="1" customHeight="1">
      <c r="A634" s="75">
        <v>46194.0</v>
      </c>
      <c r="B634" s="72" t="s">
        <v>153</v>
      </c>
      <c r="C634" s="72" t="s">
        <v>9</v>
      </c>
      <c r="D634" s="72" t="s">
        <v>154</v>
      </c>
      <c r="E634" s="73">
        <v>17.0</v>
      </c>
    </row>
    <row r="635" ht="15.75" hidden="1" customHeight="1">
      <c r="A635" s="75">
        <v>46194.0</v>
      </c>
      <c r="B635" s="72" t="s">
        <v>153</v>
      </c>
      <c r="C635" s="72" t="s">
        <v>9</v>
      </c>
      <c r="D635" s="72" t="s">
        <v>414</v>
      </c>
      <c r="E635" s="73">
        <v>800.0</v>
      </c>
    </row>
    <row r="636" ht="15.75" hidden="1" customHeight="1">
      <c r="A636" s="75">
        <v>46194.0</v>
      </c>
      <c r="B636" s="72" t="s">
        <v>150</v>
      </c>
      <c r="C636" s="72" t="s">
        <v>122</v>
      </c>
      <c r="D636" s="72" t="s">
        <v>197</v>
      </c>
      <c r="E636" s="73">
        <v>-10500.0</v>
      </c>
    </row>
    <row r="637" ht="15.75" hidden="1" customHeight="1">
      <c r="A637" s="75">
        <v>46195.0</v>
      </c>
      <c r="B637" s="72" t="s">
        <v>150</v>
      </c>
      <c r="C637" s="72" t="s">
        <v>130</v>
      </c>
      <c r="D637" s="72" t="s">
        <v>369</v>
      </c>
      <c r="E637" s="73">
        <v>-6000.0</v>
      </c>
    </row>
    <row r="638" ht="15.75" hidden="1" customHeight="1">
      <c r="A638" s="75">
        <v>46195.0</v>
      </c>
      <c r="B638" s="72" t="s">
        <v>153</v>
      </c>
      <c r="C638" s="72" t="s">
        <v>9</v>
      </c>
      <c r="D638" s="72" t="s">
        <v>154</v>
      </c>
      <c r="E638" s="73">
        <v>30.0</v>
      </c>
    </row>
    <row r="639" ht="15.75" hidden="1" customHeight="1">
      <c r="A639" s="75">
        <v>46195.0</v>
      </c>
      <c r="B639" s="72" t="s">
        <v>150</v>
      </c>
      <c r="C639" s="72" t="s">
        <v>124</v>
      </c>
      <c r="D639" s="72" t="s">
        <v>415</v>
      </c>
      <c r="E639" s="73">
        <v>-11999.0</v>
      </c>
    </row>
    <row r="640" ht="15.75" hidden="1" customHeight="1">
      <c r="A640" s="75">
        <v>46195.0</v>
      </c>
      <c r="B640" s="72" t="s">
        <v>150</v>
      </c>
      <c r="C640" s="72" t="s">
        <v>113</v>
      </c>
      <c r="D640" s="72" t="s">
        <v>357</v>
      </c>
      <c r="E640" s="73">
        <v>-33007.0</v>
      </c>
    </row>
    <row r="641" ht="15.75" hidden="1" customHeight="1">
      <c r="A641" s="75">
        <v>46195.0</v>
      </c>
      <c r="B641" s="72" t="s">
        <v>166</v>
      </c>
      <c r="C641" s="72" t="s">
        <v>243</v>
      </c>
      <c r="D641" s="72" t="s">
        <v>416</v>
      </c>
      <c r="E641" s="73">
        <v>-181900.0</v>
      </c>
    </row>
    <row r="642" ht="15.75" hidden="1" customHeight="1">
      <c r="A642" s="75">
        <v>46195.0</v>
      </c>
      <c r="B642" s="72" t="s">
        <v>150</v>
      </c>
      <c r="C642" s="72" t="s">
        <v>118</v>
      </c>
      <c r="D642" s="72" t="s">
        <v>417</v>
      </c>
      <c r="E642" s="73">
        <v>-300.0</v>
      </c>
    </row>
    <row r="643" ht="15.75" customHeight="1">
      <c r="A643" s="75">
        <v>46195.0</v>
      </c>
      <c r="B643" s="72" t="s">
        <v>150</v>
      </c>
      <c r="C643" s="72" t="s">
        <v>114</v>
      </c>
      <c r="D643" s="72" t="s">
        <v>280</v>
      </c>
      <c r="E643" s="73">
        <v>-64410.0</v>
      </c>
    </row>
    <row r="644" ht="15.75" hidden="1" customHeight="1">
      <c r="A644" s="75">
        <v>46195.0</v>
      </c>
      <c r="B644" s="72" t="s">
        <v>153</v>
      </c>
      <c r="C644" s="72" t="s">
        <v>210</v>
      </c>
      <c r="D644" s="72" t="s">
        <v>211</v>
      </c>
      <c r="E644" s="73">
        <v>194110.0</v>
      </c>
      <c r="F644" s="76" t="s">
        <v>212</v>
      </c>
    </row>
    <row r="645" ht="15.75" hidden="1" customHeight="1">
      <c r="A645" s="75">
        <v>46195.0</v>
      </c>
      <c r="B645" s="72" t="s">
        <v>150</v>
      </c>
      <c r="C645" s="72" t="s">
        <v>113</v>
      </c>
      <c r="D645" s="72" t="s">
        <v>285</v>
      </c>
      <c r="E645" s="73">
        <v>-37200.0</v>
      </c>
    </row>
    <row r="646" ht="15.75" hidden="1" customHeight="1">
      <c r="A646" s="75">
        <v>46195.0</v>
      </c>
      <c r="B646" s="72" t="s">
        <v>150</v>
      </c>
      <c r="C646" s="72" t="s">
        <v>113</v>
      </c>
      <c r="D646" s="72" t="s">
        <v>357</v>
      </c>
      <c r="E646" s="73">
        <v>-20855.0</v>
      </c>
    </row>
    <row r="647" ht="15.75" hidden="1" customHeight="1">
      <c r="A647" s="75">
        <v>46195.0</v>
      </c>
      <c r="B647" s="72" t="s">
        <v>150</v>
      </c>
      <c r="C647" s="72" t="s">
        <v>126</v>
      </c>
      <c r="D647" s="72" t="s">
        <v>360</v>
      </c>
      <c r="E647" s="73">
        <v>-42800.0</v>
      </c>
      <c r="F647" s="76" t="s">
        <v>208</v>
      </c>
    </row>
    <row r="648" ht="15.75" hidden="1" customHeight="1">
      <c r="A648" s="75">
        <v>46195.0</v>
      </c>
      <c r="B648" s="72" t="s">
        <v>150</v>
      </c>
      <c r="C648" s="72" t="s">
        <v>111</v>
      </c>
      <c r="D648" s="72" t="s">
        <v>284</v>
      </c>
      <c r="E648" s="73">
        <v>-1192505.0</v>
      </c>
    </row>
    <row r="649" ht="15.75" hidden="1" customHeight="1">
      <c r="A649" s="75">
        <v>46195.0</v>
      </c>
      <c r="B649" s="72" t="s">
        <v>150</v>
      </c>
      <c r="C649" s="72" t="s">
        <v>118</v>
      </c>
      <c r="D649" s="72" t="s">
        <v>418</v>
      </c>
      <c r="E649" s="73">
        <v>-20000.0</v>
      </c>
    </row>
    <row r="650" ht="15.75" hidden="1" customHeight="1">
      <c r="A650" s="75">
        <v>46195.0</v>
      </c>
      <c r="B650" s="72" t="s">
        <v>166</v>
      </c>
      <c r="C650" s="72" t="s">
        <v>179</v>
      </c>
      <c r="D650" s="72" t="s">
        <v>248</v>
      </c>
      <c r="E650" s="73">
        <v>20000.0</v>
      </c>
    </row>
    <row r="651" ht="15.75" hidden="1" customHeight="1">
      <c r="A651" s="75">
        <v>46195.0</v>
      </c>
      <c r="B651" s="72" t="s">
        <v>150</v>
      </c>
      <c r="C651" s="72" t="s">
        <v>126</v>
      </c>
      <c r="D651" s="72" t="s">
        <v>360</v>
      </c>
      <c r="E651" s="73">
        <v>-140000.0</v>
      </c>
      <c r="F651" s="76" t="s">
        <v>208</v>
      </c>
    </row>
    <row r="652" ht="15.75" hidden="1" customHeight="1">
      <c r="A652" s="75">
        <v>46196.0</v>
      </c>
      <c r="B652" s="72" t="s">
        <v>166</v>
      </c>
      <c r="C652" s="72" t="s">
        <v>179</v>
      </c>
      <c r="D652" s="72" t="s">
        <v>186</v>
      </c>
      <c r="E652" s="73">
        <v>-100000.0</v>
      </c>
    </row>
    <row r="653" ht="15.75" hidden="1" customHeight="1">
      <c r="A653" s="75">
        <v>46196.0</v>
      </c>
      <c r="B653" s="72" t="s">
        <v>166</v>
      </c>
      <c r="C653" s="72" t="s">
        <v>179</v>
      </c>
      <c r="D653" s="72" t="s">
        <v>186</v>
      </c>
      <c r="E653" s="73">
        <v>100000.0</v>
      </c>
    </row>
    <row r="654" ht="15.75" hidden="1" customHeight="1">
      <c r="A654" s="75">
        <v>46196.0</v>
      </c>
      <c r="B654" s="72" t="s">
        <v>150</v>
      </c>
      <c r="C654" s="72" t="s">
        <v>129</v>
      </c>
      <c r="D654" s="72" t="s">
        <v>419</v>
      </c>
      <c r="E654" s="73">
        <v>-100000.0</v>
      </c>
    </row>
    <row r="655" ht="15.75" hidden="1" customHeight="1">
      <c r="A655" s="75">
        <v>46196.0</v>
      </c>
      <c r="B655" s="72" t="s">
        <v>150</v>
      </c>
      <c r="C655" s="72" t="s">
        <v>116</v>
      </c>
      <c r="D655" s="72" t="s">
        <v>282</v>
      </c>
      <c r="E655" s="73">
        <v>-161420.0</v>
      </c>
    </row>
    <row r="656" ht="15.75" hidden="1" customHeight="1">
      <c r="A656" s="75">
        <v>46196.0</v>
      </c>
      <c r="B656" s="72" t="s">
        <v>150</v>
      </c>
      <c r="C656" s="72" t="s">
        <v>119</v>
      </c>
      <c r="D656" s="72" t="s">
        <v>256</v>
      </c>
      <c r="E656" s="73">
        <v>-5985.0</v>
      </c>
    </row>
    <row r="657" ht="15.75" hidden="1" customHeight="1">
      <c r="A657" s="75">
        <v>46196.0</v>
      </c>
      <c r="B657" s="72" t="s">
        <v>150</v>
      </c>
      <c r="C657" s="72" t="s">
        <v>119</v>
      </c>
      <c r="D657" s="72" t="s">
        <v>256</v>
      </c>
      <c r="E657" s="73">
        <v>-33915.0</v>
      </c>
    </row>
    <row r="658" ht="15.75" hidden="1" customHeight="1">
      <c r="A658" s="75">
        <v>46196.0</v>
      </c>
      <c r="B658" s="72" t="s">
        <v>150</v>
      </c>
      <c r="C658" s="72" t="s">
        <v>124</v>
      </c>
      <c r="D658" s="72" t="s">
        <v>420</v>
      </c>
      <c r="E658" s="73">
        <v>-5999.0</v>
      </c>
    </row>
    <row r="659" ht="15.75" hidden="1" customHeight="1">
      <c r="A659" s="75">
        <v>46196.0</v>
      </c>
      <c r="B659" s="72" t="s">
        <v>150</v>
      </c>
      <c r="C659" s="72" t="s">
        <v>122</v>
      </c>
      <c r="D659" s="72" t="s">
        <v>421</v>
      </c>
      <c r="E659" s="73">
        <v>-28380.0</v>
      </c>
    </row>
    <row r="660" ht="15.75" hidden="1" customHeight="1">
      <c r="A660" s="75">
        <v>46196.0</v>
      </c>
      <c r="B660" s="72" t="s">
        <v>150</v>
      </c>
      <c r="C660" s="72" t="s">
        <v>122</v>
      </c>
      <c r="D660" s="72" t="s">
        <v>375</v>
      </c>
      <c r="E660" s="73">
        <v>-6700.0</v>
      </c>
    </row>
    <row r="661" ht="15.75" hidden="1" customHeight="1">
      <c r="A661" s="75">
        <v>46196.0</v>
      </c>
      <c r="B661" s="72" t="s">
        <v>153</v>
      </c>
      <c r="C661" s="72" t="s">
        <v>9</v>
      </c>
      <c r="D661" s="72" t="s">
        <v>154</v>
      </c>
      <c r="E661" s="73">
        <v>33.0</v>
      </c>
    </row>
    <row r="662" ht="15.75" hidden="1" customHeight="1">
      <c r="A662" s="75">
        <v>46196.0</v>
      </c>
      <c r="B662" s="72" t="s">
        <v>150</v>
      </c>
      <c r="C662" s="72" t="s">
        <v>122</v>
      </c>
      <c r="D662" s="72" t="s">
        <v>223</v>
      </c>
      <c r="E662" s="73">
        <v>-25500.0</v>
      </c>
    </row>
    <row r="663" ht="15.75" hidden="1" customHeight="1">
      <c r="A663" s="75">
        <v>46196.0</v>
      </c>
      <c r="B663" s="72" t="s">
        <v>150</v>
      </c>
      <c r="C663" s="72" t="s">
        <v>124</v>
      </c>
      <c r="D663" s="72" t="s">
        <v>422</v>
      </c>
      <c r="E663" s="73">
        <v>-273950.0</v>
      </c>
    </row>
    <row r="664" ht="15.75" hidden="1" customHeight="1">
      <c r="A664" s="75">
        <v>46196.0</v>
      </c>
      <c r="B664" s="72" t="s">
        <v>166</v>
      </c>
      <c r="C664" s="72" t="s">
        <v>179</v>
      </c>
      <c r="D664" s="72" t="s">
        <v>287</v>
      </c>
      <c r="E664" s="73">
        <v>-50000.0</v>
      </c>
    </row>
    <row r="665" ht="15.75" hidden="1" customHeight="1">
      <c r="A665" s="75">
        <v>46196.0</v>
      </c>
      <c r="B665" s="72" t="s">
        <v>166</v>
      </c>
      <c r="C665" s="72" t="s">
        <v>179</v>
      </c>
      <c r="D665" s="72" t="s">
        <v>248</v>
      </c>
      <c r="E665" s="73">
        <v>50000.0</v>
      </c>
    </row>
    <row r="666" ht="15.75" hidden="1" customHeight="1">
      <c r="A666" s="75">
        <v>46196.0</v>
      </c>
      <c r="B666" s="72" t="s">
        <v>153</v>
      </c>
      <c r="C666" s="72" t="s">
        <v>9</v>
      </c>
      <c r="D666" s="72" t="s">
        <v>211</v>
      </c>
      <c r="E666" s="73">
        <v>67.0</v>
      </c>
    </row>
    <row r="667" ht="15.75" hidden="1" customHeight="1">
      <c r="A667" s="75">
        <v>46196.0</v>
      </c>
      <c r="B667" s="72" t="s">
        <v>153</v>
      </c>
      <c r="C667" s="72" t="s">
        <v>9</v>
      </c>
      <c r="D667" s="72" t="s">
        <v>423</v>
      </c>
      <c r="E667" s="73">
        <v>2001.0</v>
      </c>
    </row>
    <row r="668" ht="15.75" hidden="1" customHeight="1">
      <c r="A668" s="75">
        <v>46196.0</v>
      </c>
      <c r="B668" s="72" t="s">
        <v>150</v>
      </c>
      <c r="C668" s="72" t="s">
        <v>126</v>
      </c>
      <c r="D668" s="72" t="s">
        <v>360</v>
      </c>
      <c r="E668" s="73">
        <v>-181600.0</v>
      </c>
      <c r="F668" s="76" t="s">
        <v>208</v>
      </c>
    </row>
    <row r="669" ht="15.75" hidden="1" customHeight="1">
      <c r="A669" s="75">
        <v>46197.0</v>
      </c>
      <c r="B669" s="72" t="s">
        <v>150</v>
      </c>
      <c r="C669" s="72" t="s">
        <v>128</v>
      </c>
      <c r="D669" s="72" t="s">
        <v>424</v>
      </c>
      <c r="E669" s="73">
        <v>-15600.0</v>
      </c>
    </row>
    <row r="670" ht="15.75" hidden="1" customHeight="1">
      <c r="A670" s="75">
        <v>46197.0</v>
      </c>
      <c r="B670" s="72" t="s">
        <v>153</v>
      </c>
      <c r="C670" s="72" t="s">
        <v>9</v>
      </c>
      <c r="D670" s="72" t="s">
        <v>337</v>
      </c>
      <c r="E670" s="73">
        <v>180.0</v>
      </c>
    </row>
    <row r="671" ht="15.75" hidden="1" customHeight="1">
      <c r="A671" s="75">
        <v>46197.0</v>
      </c>
      <c r="B671" s="72" t="s">
        <v>166</v>
      </c>
      <c r="C671" s="72" t="s">
        <v>179</v>
      </c>
      <c r="D671" s="72" t="s">
        <v>186</v>
      </c>
      <c r="E671" s="73">
        <v>-50000.0</v>
      </c>
    </row>
    <row r="672" ht="15.75" hidden="1" customHeight="1">
      <c r="A672" s="75">
        <v>46197.0</v>
      </c>
      <c r="B672" s="72" t="s">
        <v>166</v>
      </c>
      <c r="C672" s="72" t="s">
        <v>179</v>
      </c>
      <c r="D672" s="72" t="s">
        <v>186</v>
      </c>
      <c r="E672" s="73">
        <v>50000.0</v>
      </c>
    </row>
    <row r="673" ht="15.75" hidden="1" customHeight="1">
      <c r="A673" s="75">
        <v>46197.0</v>
      </c>
      <c r="B673" s="72" t="s">
        <v>150</v>
      </c>
      <c r="C673" s="72" t="s">
        <v>130</v>
      </c>
      <c r="D673" s="72" t="s">
        <v>399</v>
      </c>
      <c r="E673" s="73">
        <v>-4500.0</v>
      </c>
    </row>
    <row r="674" ht="15.75" hidden="1" customHeight="1">
      <c r="A674" s="75">
        <v>46197.0</v>
      </c>
      <c r="B674" s="72" t="s">
        <v>153</v>
      </c>
      <c r="C674" s="72" t="s">
        <v>9</v>
      </c>
      <c r="D674" s="72" t="s">
        <v>154</v>
      </c>
      <c r="E674" s="73">
        <v>22.0</v>
      </c>
    </row>
    <row r="675" ht="15.75" hidden="1" customHeight="1">
      <c r="A675" s="75">
        <v>46197.0</v>
      </c>
      <c r="B675" s="72" t="s">
        <v>150</v>
      </c>
      <c r="C675" s="72" t="s">
        <v>122</v>
      </c>
      <c r="D675" s="72" t="s">
        <v>425</v>
      </c>
      <c r="E675" s="73">
        <v>-17000.0</v>
      </c>
    </row>
    <row r="676" ht="15.75" hidden="1" customHeight="1">
      <c r="A676" s="75">
        <v>46197.0</v>
      </c>
      <c r="B676" s="72" t="s">
        <v>153</v>
      </c>
      <c r="C676" s="72" t="s">
        <v>9</v>
      </c>
      <c r="D676" s="72" t="s">
        <v>154</v>
      </c>
      <c r="E676" s="73">
        <v>85.0</v>
      </c>
    </row>
    <row r="677" ht="15.75" hidden="1" customHeight="1">
      <c r="A677" s="75">
        <v>46197.0</v>
      </c>
      <c r="B677" s="72" t="s">
        <v>153</v>
      </c>
      <c r="C677" s="72" t="s">
        <v>9</v>
      </c>
      <c r="D677" s="72" t="s">
        <v>426</v>
      </c>
      <c r="E677" s="73">
        <v>1920.0</v>
      </c>
    </row>
    <row r="678" ht="15.75" hidden="1" customHeight="1">
      <c r="A678" s="75">
        <v>46197.0</v>
      </c>
      <c r="B678" s="72" t="s">
        <v>150</v>
      </c>
      <c r="C678" s="72" t="s">
        <v>131</v>
      </c>
      <c r="D678" s="72" t="s">
        <v>377</v>
      </c>
      <c r="E678" s="73">
        <v>-3300.0</v>
      </c>
    </row>
    <row r="679" ht="15.75" hidden="1" customHeight="1">
      <c r="A679" s="75">
        <v>46197.0</v>
      </c>
      <c r="B679" s="72" t="s">
        <v>153</v>
      </c>
      <c r="C679" s="72" t="s">
        <v>9</v>
      </c>
      <c r="D679" s="72" t="s">
        <v>154</v>
      </c>
      <c r="E679" s="73">
        <v>16.0</v>
      </c>
    </row>
    <row r="680" ht="15.75" hidden="1" customHeight="1">
      <c r="A680" s="75">
        <v>46197.0</v>
      </c>
      <c r="B680" s="72" t="s">
        <v>150</v>
      </c>
      <c r="C680" s="72" t="s">
        <v>131</v>
      </c>
      <c r="D680" s="72" t="s">
        <v>229</v>
      </c>
      <c r="E680" s="73">
        <v>-3833.0</v>
      </c>
    </row>
    <row r="681" ht="15.75" hidden="1" customHeight="1">
      <c r="A681" s="75">
        <v>46197.0</v>
      </c>
      <c r="B681" s="72" t="s">
        <v>150</v>
      </c>
      <c r="C681" s="72" t="s">
        <v>122</v>
      </c>
      <c r="D681" s="72" t="s">
        <v>201</v>
      </c>
      <c r="E681" s="73">
        <v>-15000.0</v>
      </c>
    </row>
    <row r="682" ht="15.75" hidden="1" customHeight="1">
      <c r="A682" s="75">
        <v>46197.0</v>
      </c>
      <c r="B682" s="72" t="s">
        <v>153</v>
      </c>
      <c r="C682" s="72" t="s">
        <v>9</v>
      </c>
      <c r="D682" s="72" t="s">
        <v>154</v>
      </c>
      <c r="E682" s="73">
        <v>75.0</v>
      </c>
    </row>
    <row r="683" ht="15.75" hidden="1" customHeight="1">
      <c r="A683" s="75">
        <v>46197.0</v>
      </c>
      <c r="B683" s="72" t="s">
        <v>150</v>
      </c>
      <c r="C683" s="72" t="s">
        <v>117</v>
      </c>
      <c r="D683" s="72" t="s">
        <v>427</v>
      </c>
      <c r="E683" s="73">
        <v>-5500.0</v>
      </c>
    </row>
    <row r="684" ht="15.75" hidden="1" customHeight="1">
      <c r="A684" s="75">
        <v>46198.0</v>
      </c>
      <c r="B684" s="72" t="s">
        <v>166</v>
      </c>
      <c r="C684" s="72" t="s">
        <v>161</v>
      </c>
      <c r="D684" s="72" t="s">
        <v>289</v>
      </c>
      <c r="E684" s="73">
        <v>-200000.0</v>
      </c>
    </row>
    <row r="685" ht="15.75" hidden="1" customHeight="1">
      <c r="A685" s="75">
        <v>46198.0</v>
      </c>
      <c r="B685" s="72" t="s">
        <v>166</v>
      </c>
      <c r="C685" s="72" t="s">
        <v>428</v>
      </c>
      <c r="D685" s="72" t="s">
        <v>289</v>
      </c>
      <c r="E685" s="73">
        <v>200000.0</v>
      </c>
    </row>
    <row r="686" ht="15.75" hidden="1" customHeight="1">
      <c r="A686" s="75">
        <v>46198.0</v>
      </c>
      <c r="B686" s="72" t="s">
        <v>166</v>
      </c>
      <c r="C686" s="72" t="s">
        <v>179</v>
      </c>
      <c r="D686" s="72" t="s">
        <v>186</v>
      </c>
      <c r="E686" s="73">
        <v>770000.0</v>
      </c>
    </row>
    <row r="687" ht="15.75" hidden="1" customHeight="1">
      <c r="A687" s="75">
        <v>46198.0</v>
      </c>
      <c r="B687" s="72" t="s">
        <v>166</v>
      </c>
      <c r="C687" s="72" t="s">
        <v>173</v>
      </c>
      <c r="D687" s="72" t="s">
        <v>429</v>
      </c>
      <c r="E687" s="73">
        <v>-770000.0</v>
      </c>
    </row>
    <row r="688" ht="15.75" hidden="1" customHeight="1">
      <c r="A688" s="75">
        <v>46198.0</v>
      </c>
      <c r="B688" s="72" t="s">
        <v>150</v>
      </c>
      <c r="C688" s="72" t="s">
        <v>122</v>
      </c>
      <c r="D688" s="72" t="s">
        <v>430</v>
      </c>
      <c r="E688" s="73">
        <v>-14000.0</v>
      </c>
    </row>
    <row r="689" ht="15.75" hidden="1" customHeight="1">
      <c r="A689" s="75">
        <v>46198.0</v>
      </c>
      <c r="B689" s="72" t="s">
        <v>153</v>
      </c>
      <c r="C689" s="72" t="s">
        <v>9</v>
      </c>
      <c r="D689" s="72" t="s">
        <v>154</v>
      </c>
      <c r="E689" s="73">
        <v>70.0</v>
      </c>
    </row>
    <row r="690" ht="15.75" hidden="1" customHeight="1">
      <c r="A690" s="75">
        <v>46198.0</v>
      </c>
      <c r="B690" s="72" t="s">
        <v>150</v>
      </c>
      <c r="C690" s="72" t="s">
        <v>122</v>
      </c>
      <c r="D690" s="72" t="s">
        <v>431</v>
      </c>
      <c r="E690" s="73">
        <v>-6500.0</v>
      </c>
    </row>
    <row r="691" ht="15.75" hidden="1" customHeight="1">
      <c r="A691" s="75">
        <v>46198.0</v>
      </c>
      <c r="B691" s="72" t="s">
        <v>153</v>
      </c>
      <c r="C691" s="72" t="s">
        <v>9</v>
      </c>
      <c r="D691" s="72" t="s">
        <v>154</v>
      </c>
      <c r="E691" s="73">
        <v>32.0</v>
      </c>
    </row>
    <row r="692" ht="15.75" hidden="1" customHeight="1">
      <c r="A692" s="75">
        <v>46198.0</v>
      </c>
      <c r="B692" s="72" t="s">
        <v>150</v>
      </c>
      <c r="C692" s="72" t="s">
        <v>122</v>
      </c>
      <c r="D692" s="72" t="s">
        <v>432</v>
      </c>
      <c r="E692" s="73">
        <v>-2100.0</v>
      </c>
    </row>
    <row r="693" ht="15.75" hidden="1" customHeight="1">
      <c r="A693" s="75">
        <v>46198.0</v>
      </c>
      <c r="B693" s="72" t="s">
        <v>153</v>
      </c>
      <c r="C693" s="72" t="s">
        <v>9</v>
      </c>
      <c r="D693" s="72" t="s">
        <v>154</v>
      </c>
      <c r="E693" s="73">
        <v>10.0</v>
      </c>
    </row>
    <row r="694" ht="15.75" hidden="1" customHeight="1">
      <c r="A694" s="75">
        <v>46198.0</v>
      </c>
      <c r="B694" s="72" t="s">
        <v>150</v>
      </c>
      <c r="C694" s="72" t="s">
        <v>113</v>
      </c>
      <c r="D694" s="72" t="s">
        <v>433</v>
      </c>
      <c r="E694" s="73">
        <v>-25210.0</v>
      </c>
    </row>
    <row r="695" ht="15.75" hidden="1" customHeight="1">
      <c r="A695" s="75">
        <v>46198.0</v>
      </c>
      <c r="B695" s="72" t="s">
        <v>166</v>
      </c>
      <c r="C695" s="72" t="s">
        <v>243</v>
      </c>
      <c r="D695" s="72" t="s">
        <v>309</v>
      </c>
      <c r="E695" s="73">
        <v>-531836.0</v>
      </c>
    </row>
    <row r="696" ht="15.75" hidden="1" customHeight="1">
      <c r="A696" s="75">
        <v>46198.0</v>
      </c>
      <c r="B696" s="72" t="s">
        <v>153</v>
      </c>
      <c r="C696" s="72" t="s">
        <v>6</v>
      </c>
      <c r="D696" s="72" t="s">
        <v>296</v>
      </c>
      <c r="E696" s="73">
        <v>100000.0</v>
      </c>
    </row>
    <row r="697" ht="15.75" hidden="1" customHeight="1">
      <c r="A697" s="75">
        <v>46198.0</v>
      </c>
      <c r="B697" s="72" t="s">
        <v>153</v>
      </c>
      <c r="C697" s="72" t="s">
        <v>6</v>
      </c>
      <c r="D697" s="72" t="s">
        <v>296</v>
      </c>
      <c r="E697" s="73">
        <v>100000.0</v>
      </c>
    </row>
    <row r="698" ht="15.75" hidden="1" customHeight="1">
      <c r="A698" s="75">
        <v>46198.0</v>
      </c>
      <c r="B698" s="72" t="s">
        <v>153</v>
      </c>
      <c r="C698" s="72" t="s">
        <v>6</v>
      </c>
      <c r="D698" s="72" t="s">
        <v>297</v>
      </c>
      <c r="E698" s="73">
        <v>1000000.0</v>
      </c>
    </row>
    <row r="699" ht="15.75" hidden="1" customHeight="1">
      <c r="A699" s="75">
        <v>46198.0</v>
      </c>
      <c r="B699" s="72" t="s">
        <v>166</v>
      </c>
      <c r="C699" s="72" t="s">
        <v>166</v>
      </c>
      <c r="D699" s="72" t="s">
        <v>192</v>
      </c>
      <c r="E699" s="73">
        <v>-1200000.0</v>
      </c>
    </row>
    <row r="700" ht="15.75" hidden="1" customHeight="1">
      <c r="A700" s="75">
        <v>46198.0</v>
      </c>
      <c r="B700" s="72" t="s">
        <v>166</v>
      </c>
      <c r="C700" s="72" t="s">
        <v>243</v>
      </c>
      <c r="D700" s="72" t="s">
        <v>329</v>
      </c>
      <c r="E700" s="73">
        <v>-688705.0</v>
      </c>
    </row>
    <row r="701" ht="15.75" hidden="1" customHeight="1">
      <c r="A701" s="75">
        <v>46198.0</v>
      </c>
      <c r="B701" s="72" t="s">
        <v>150</v>
      </c>
      <c r="C701" s="72" t="s">
        <v>113</v>
      </c>
      <c r="D701" s="72" t="s">
        <v>434</v>
      </c>
      <c r="E701" s="73">
        <v>-59427.0</v>
      </c>
    </row>
    <row r="702" ht="15.75" hidden="1" customHeight="1">
      <c r="A702" s="75">
        <v>46198.0</v>
      </c>
      <c r="B702" s="72" t="s">
        <v>166</v>
      </c>
      <c r="C702" s="72" t="s">
        <v>243</v>
      </c>
      <c r="D702" s="72" t="s">
        <v>327</v>
      </c>
      <c r="E702" s="73">
        <v>-20190.0</v>
      </c>
    </row>
    <row r="703" ht="15.75" hidden="1" customHeight="1">
      <c r="A703" s="75">
        <v>46198.0</v>
      </c>
      <c r="B703" s="72" t="s">
        <v>153</v>
      </c>
      <c r="C703" s="72" t="s">
        <v>210</v>
      </c>
      <c r="D703" s="72" t="s">
        <v>220</v>
      </c>
      <c r="E703" s="73">
        <v>344400.0</v>
      </c>
      <c r="F703" s="76" t="s">
        <v>212</v>
      </c>
    </row>
    <row r="704" ht="15.75" hidden="1" customHeight="1">
      <c r="A704" s="75">
        <v>46198.0</v>
      </c>
      <c r="B704" s="72" t="s">
        <v>166</v>
      </c>
      <c r="C704" s="72" t="s">
        <v>166</v>
      </c>
      <c r="D704" s="72" t="s">
        <v>435</v>
      </c>
      <c r="E704" s="73">
        <v>800000.0</v>
      </c>
    </row>
    <row r="705" ht="15.75" hidden="1" customHeight="1">
      <c r="A705" s="75">
        <v>46198.0</v>
      </c>
      <c r="B705" s="72" t="s">
        <v>150</v>
      </c>
      <c r="C705" s="72" t="s">
        <v>113</v>
      </c>
      <c r="D705" s="72" t="s">
        <v>436</v>
      </c>
      <c r="E705" s="73">
        <v>-64180.0</v>
      </c>
    </row>
    <row r="706" ht="15.75" hidden="1" customHeight="1">
      <c r="A706" s="75">
        <v>46198.0</v>
      </c>
      <c r="B706" s="72" t="s">
        <v>150</v>
      </c>
      <c r="C706" s="72" t="s">
        <v>126</v>
      </c>
      <c r="D706" s="72" t="s">
        <v>360</v>
      </c>
      <c r="E706" s="73">
        <v>-187300.0</v>
      </c>
      <c r="F706" s="76" t="s">
        <v>208</v>
      </c>
    </row>
    <row r="707" ht="15.75" hidden="1" customHeight="1">
      <c r="A707" s="75">
        <v>46198.0</v>
      </c>
      <c r="B707" s="72" t="s">
        <v>166</v>
      </c>
      <c r="C707" s="72" t="s">
        <v>166</v>
      </c>
      <c r="D707" s="72" t="s">
        <v>192</v>
      </c>
      <c r="E707" s="73">
        <v>-350000.0</v>
      </c>
    </row>
    <row r="708" ht="15.75" hidden="1" customHeight="1">
      <c r="A708" s="75">
        <v>46199.0</v>
      </c>
      <c r="B708" s="72" t="s">
        <v>166</v>
      </c>
      <c r="C708" s="72" t="s">
        <v>179</v>
      </c>
      <c r="D708" s="72" t="s">
        <v>437</v>
      </c>
      <c r="E708" s="73">
        <v>-200000.0</v>
      </c>
    </row>
    <row r="709" ht="15.75" hidden="1" customHeight="1">
      <c r="A709" s="75">
        <v>46199.0</v>
      </c>
      <c r="B709" s="72" t="s">
        <v>166</v>
      </c>
      <c r="C709" s="72" t="s">
        <v>179</v>
      </c>
      <c r="D709" s="72" t="s">
        <v>180</v>
      </c>
      <c r="E709" s="73">
        <v>200000.0</v>
      </c>
    </row>
    <row r="710" ht="15.75" hidden="1" customHeight="1">
      <c r="A710" s="75">
        <v>46199.0</v>
      </c>
      <c r="B710" s="72" t="s">
        <v>150</v>
      </c>
      <c r="C710" s="72" t="s">
        <v>118</v>
      </c>
      <c r="D710" s="72" t="s">
        <v>319</v>
      </c>
      <c r="E710" s="73">
        <v>-90000.0</v>
      </c>
    </row>
    <row r="711" ht="15.75" hidden="1" customHeight="1">
      <c r="A711" s="75">
        <v>46199.0</v>
      </c>
      <c r="B711" s="72" t="s">
        <v>150</v>
      </c>
      <c r="C711" s="72" t="s">
        <v>118</v>
      </c>
      <c r="D711" s="72" t="s">
        <v>318</v>
      </c>
      <c r="E711" s="73">
        <v>-200000.0</v>
      </c>
    </row>
    <row r="712" ht="15.75" hidden="1" customHeight="1">
      <c r="A712" s="75">
        <v>46199.0</v>
      </c>
      <c r="B712" s="72" t="s">
        <v>166</v>
      </c>
      <c r="C712" s="72" t="s">
        <v>179</v>
      </c>
      <c r="D712" s="72" t="s">
        <v>318</v>
      </c>
      <c r="E712" s="73">
        <v>200000.0</v>
      </c>
    </row>
    <row r="713" ht="15.75" hidden="1" customHeight="1">
      <c r="A713" s="75">
        <v>46199.0</v>
      </c>
      <c r="B713" s="72" t="s">
        <v>150</v>
      </c>
      <c r="C713" s="72" t="s">
        <v>118</v>
      </c>
      <c r="D713" s="72" t="s">
        <v>317</v>
      </c>
      <c r="E713" s="73">
        <v>-90000.0</v>
      </c>
    </row>
    <row r="714" ht="15.75" hidden="1" customHeight="1">
      <c r="A714" s="75">
        <v>46199.0</v>
      </c>
      <c r="B714" s="72" t="s">
        <v>166</v>
      </c>
      <c r="C714" s="72" t="s">
        <v>179</v>
      </c>
      <c r="D714" s="72" t="s">
        <v>186</v>
      </c>
      <c r="E714" s="73">
        <v>-100000.0</v>
      </c>
    </row>
    <row r="715" ht="15.75" hidden="1" customHeight="1">
      <c r="A715" s="75">
        <v>46199.0</v>
      </c>
      <c r="B715" s="72" t="s">
        <v>166</v>
      </c>
      <c r="C715" s="72" t="s">
        <v>179</v>
      </c>
      <c r="D715" s="72" t="s">
        <v>186</v>
      </c>
      <c r="E715" s="73">
        <v>100000.0</v>
      </c>
    </row>
    <row r="716" ht="15.75" hidden="1" customHeight="1">
      <c r="A716" s="75">
        <v>46199.0</v>
      </c>
      <c r="B716" s="72" t="s">
        <v>150</v>
      </c>
      <c r="C716" s="72" t="s">
        <v>122</v>
      </c>
      <c r="D716" s="72" t="s">
        <v>438</v>
      </c>
      <c r="E716" s="73">
        <v>-62000.0</v>
      </c>
    </row>
    <row r="717" ht="15.75" hidden="1" customHeight="1">
      <c r="A717" s="75">
        <v>46199.0</v>
      </c>
      <c r="B717" s="72" t="s">
        <v>153</v>
      </c>
      <c r="C717" s="72" t="s">
        <v>9</v>
      </c>
      <c r="D717" s="72" t="s">
        <v>154</v>
      </c>
      <c r="E717" s="73">
        <v>310.0</v>
      </c>
    </row>
    <row r="718" ht="15.75" hidden="1" customHeight="1">
      <c r="A718" s="75">
        <v>46199.0</v>
      </c>
      <c r="B718" s="72" t="s">
        <v>150</v>
      </c>
      <c r="C718" s="72" t="s">
        <v>126</v>
      </c>
      <c r="D718" s="72" t="s">
        <v>439</v>
      </c>
      <c r="E718" s="73">
        <v>-12000.0</v>
      </c>
    </row>
    <row r="719" ht="15.75" hidden="1" customHeight="1">
      <c r="A719" s="75">
        <v>46199.0</v>
      </c>
      <c r="B719" s="72" t="s">
        <v>153</v>
      </c>
      <c r="C719" s="72" t="s">
        <v>9</v>
      </c>
      <c r="D719" s="72" t="s">
        <v>154</v>
      </c>
      <c r="E719" s="73">
        <v>60.0</v>
      </c>
    </row>
    <row r="720" ht="15.75" hidden="1" customHeight="1">
      <c r="A720" s="75">
        <v>46199.0</v>
      </c>
      <c r="B720" s="72" t="s">
        <v>150</v>
      </c>
      <c r="C720" s="72" t="s">
        <v>122</v>
      </c>
      <c r="D720" s="72" t="s">
        <v>440</v>
      </c>
      <c r="E720" s="73">
        <v>-6900.0</v>
      </c>
    </row>
    <row r="721" ht="15.75" hidden="1" customHeight="1">
      <c r="A721" s="75">
        <v>46199.0</v>
      </c>
      <c r="B721" s="72" t="s">
        <v>150</v>
      </c>
      <c r="C721" s="72" t="s">
        <v>129</v>
      </c>
      <c r="D721" s="72" t="s">
        <v>441</v>
      </c>
      <c r="E721" s="73">
        <v>-30200.0</v>
      </c>
    </row>
    <row r="722" ht="15.75" hidden="1" customHeight="1">
      <c r="A722" s="75">
        <v>46199.0</v>
      </c>
      <c r="B722" s="72" t="s">
        <v>153</v>
      </c>
      <c r="C722" s="72" t="s">
        <v>9</v>
      </c>
      <c r="D722" s="72" t="s">
        <v>154</v>
      </c>
      <c r="E722" s="73">
        <v>151.0</v>
      </c>
    </row>
    <row r="723" ht="15.75" hidden="1" customHeight="1">
      <c r="A723" s="75">
        <v>46199.0</v>
      </c>
      <c r="B723" s="72" t="s">
        <v>150</v>
      </c>
      <c r="C723" s="72" t="s">
        <v>122</v>
      </c>
      <c r="D723" s="72" t="s">
        <v>442</v>
      </c>
      <c r="E723" s="73">
        <v>-8520.0</v>
      </c>
    </row>
    <row r="724" ht="15.75" hidden="1" customHeight="1">
      <c r="A724" s="75">
        <v>46199.0</v>
      </c>
      <c r="B724" s="72" t="s">
        <v>166</v>
      </c>
      <c r="C724" s="72" t="s">
        <v>179</v>
      </c>
      <c r="D724" s="72" t="s">
        <v>186</v>
      </c>
      <c r="E724" s="73">
        <v>200000.0</v>
      </c>
    </row>
    <row r="725" ht="15.75" hidden="1" customHeight="1">
      <c r="A725" s="75">
        <v>46199.0</v>
      </c>
      <c r="B725" s="72" t="s">
        <v>153</v>
      </c>
      <c r="C725" s="72" t="s">
        <v>9</v>
      </c>
      <c r="D725" s="72" t="s">
        <v>154</v>
      </c>
      <c r="E725" s="73">
        <v>42.0</v>
      </c>
    </row>
    <row r="726" ht="15.75" hidden="1" customHeight="1">
      <c r="A726" s="75">
        <v>46199.0</v>
      </c>
      <c r="B726" s="72" t="s">
        <v>150</v>
      </c>
      <c r="C726" s="72" t="s">
        <v>124</v>
      </c>
      <c r="D726" s="72" t="s">
        <v>443</v>
      </c>
      <c r="E726" s="73">
        <v>-7000.0</v>
      </c>
    </row>
    <row r="727" ht="15.75" hidden="1" customHeight="1">
      <c r="A727" s="75">
        <v>46199.0</v>
      </c>
      <c r="B727" s="72" t="s">
        <v>153</v>
      </c>
      <c r="C727" s="72" t="s">
        <v>9</v>
      </c>
      <c r="D727" s="72" t="s">
        <v>154</v>
      </c>
      <c r="E727" s="73">
        <v>35.0</v>
      </c>
    </row>
    <row r="728" ht="15.75" hidden="1" customHeight="1">
      <c r="A728" s="75">
        <v>46199.0</v>
      </c>
      <c r="B728" s="72" t="s">
        <v>166</v>
      </c>
      <c r="C728" s="72" t="s">
        <v>243</v>
      </c>
      <c r="D728" s="72" t="s">
        <v>310</v>
      </c>
      <c r="E728" s="73">
        <v>-308360.0</v>
      </c>
    </row>
    <row r="729" ht="15.75" hidden="1" customHeight="1">
      <c r="A729" s="75">
        <v>46199.0</v>
      </c>
      <c r="B729" s="72" t="s">
        <v>150</v>
      </c>
      <c r="C729" s="72" t="s">
        <v>122</v>
      </c>
      <c r="D729" s="72" t="s">
        <v>444</v>
      </c>
      <c r="E729" s="73">
        <v>-34400.0</v>
      </c>
    </row>
    <row r="730" ht="15.75" hidden="1" customHeight="1">
      <c r="A730" s="75">
        <v>46199.0</v>
      </c>
      <c r="B730" s="72" t="s">
        <v>153</v>
      </c>
      <c r="C730" s="72" t="s">
        <v>9</v>
      </c>
      <c r="D730" s="72" t="s">
        <v>154</v>
      </c>
      <c r="E730" s="73">
        <v>172.0</v>
      </c>
    </row>
    <row r="731" ht="15.75" hidden="1" customHeight="1">
      <c r="A731" s="75">
        <v>46199.0</v>
      </c>
      <c r="B731" s="72" t="s">
        <v>150</v>
      </c>
      <c r="C731" s="72" t="s">
        <v>122</v>
      </c>
      <c r="D731" s="72" t="s">
        <v>445</v>
      </c>
      <c r="E731" s="73">
        <v>-10000.0</v>
      </c>
    </row>
    <row r="732" ht="15.75" hidden="1" customHeight="1">
      <c r="A732" s="75">
        <v>46199.0</v>
      </c>
      <c r="B732" s="72" t="s">
        <v>153</v>
      </c>
      <c r="C732" s="72" t="s">
        <v>9</v>
      </c>
      <c r="D732" s="72" t="s">
        <v>154</v>
      </c>
      <c r="E732" s="73">
        <v>50.0</v>
      </c>
    </row>
    <row r="733" ht="15.75" hidden="1" customHeight="1">
      <c r="A733" s="75">
        <v>46199.0</v>
      </c>
      <c r="B733" s="72" t="s">
        <v>150</v>
      </c>
      <c r="C733" s="72" t="s">
        <v>126</v>
      </c>
      <c r="D733" s="72" t="s">
        <v>446</v>
      </c>
      <c r="E733" s="73">
        <v>-4200.0</v>
      </c>
    </row>
    <row r="734" ht="15.75" hidden="1" customHeight="1">
      <c r="A734" s="75">
        <v>46199.0</v>
      </c>
      <c r="B734" s="72" t="s">
        <v>153</v>
      </c>
      <c r="C734" s="72" t="s">
        <v>9</v>
      </c>
      <c r="D734" s="72" t="s">
        <v>154</v>
      </c>
      <c r="E734" s="73">
        <v>21.0</v>
      </c>
    </row>
    <row r="735" ht="15.75" hidden="1" customHeight="1">
      <c r="A735" s="75">
        <v>46199.0</v>
      </c>
      <c r="B735" s="72" t="s">
        <v>150</v>
      </c>
      <c r="C735" s="72" t="s">
        <v>122</v>
      </c>
      <c r="D735" s="72" t="s">
        <v>447</v>
      </c>
      <c r="E735" s="73">
        <v>-3900.0</v>
      </c>
    </row>
    <row r="736" ht="15.75" hidden="1" customHeight="1">
      <c r="A736" s="75">
        <v>46199.0</v>
      </c>
      <c r="B736" s="72" t="s">
        <v>153</v>
      </c>
      <c r="C736" s="72" t="s">
        <v>9</v>
      </c>
      <c r="D736" s="72" t="s">
        <v>154</v>
      </c>
      <c r="E736" s="73">
        <v>19.0</v>
      </c>
    </row>
    <row r="737" ht="15.75" hidden="1" customHeight="1">
      <c r="A737" s="75">
        <v>46199.0</v>
      </c>
      <c r="B737" s="72" t="s">
        <v>150</v>
      </c>
      <c r="C737" s="72" t="s">
        <v>122</v>
      </c>
      <c r="D737" s="72" t="s">
        <v>448</v>
      </c>
      <c r="E737" s="73">
        <v>-10000.0</v>
      </c>
    </row>
    <row r="738" ht="15.75" hidden="1" customHeight="1">
      <c r="A738" s="75">
        <v>46199.0</v>
      </c>
      <c r="B738" s="72" t="s">
        <v>153</v>
      </c>
      <c r="C738" s="72" t="s">
        <v>210</v>
      </c>
      <c r="D738" s="72" t="s">
        <v>220</v>
      </c>
      <c r="E738" s="73">
        <v>177300.0</v>
      </c>
      <c r="F738" s="76" t="s">
        <v>212</v>
      </c>
    </row>
    <row r="739" ht="15.75" hidden="1" customHeight="1">
      <c r="A739" s="75">
        <v>46199.0</v>
      </c>
      <c r="B739" s="72" t="s">
        <v>150</v>
      </c>
      <c r="C739" s="72" t="s">
        <v>129</v>
      </c>
      <c r="D739" s="72" t="s">
        <v>449</v>
      </c>
      <c r="E739" s="73">
        <v>-40000.0</v>
      </c>
    </row>
    <row r="740" ht="15.75" hidden="1" customHeight="1">
      <c r="A740" s="75">
        <v>46200.0</v>
      </c>
      <c r="B740" s="72" t="s">
        <v>166</v>
      </c>
      <c r="C740" s="72" t="s">
        <v>174</v>
      </c>
      <c r="D740" s="72" t="s">
        <v>301</v>
      </c>
      <c r="E740" s="73">
        <v>792.0</v>
      </c>
    </row>
    <row r="741" ht="15.75" hidden="1" customHeight="1">
      <c r="A741" s="75">
        <v>46200.0</v>
      </c>
      <c r="B741" s="72" t="s">
        <v>166</v>
      </c>
      <c r="C741" s="72" t="s">
        <v>166</v>
      </c>
      <c r="D741" s="72" t="s">
        <v>300</v>
      </c>
      <c r="E741" s="73">
        <v>0.0</v>
      </c>
    </row>
    <row r="742" ht="15.75" hidden="1" customHeight="1">
      <c r="A742" s="75">
        <v>46200.0</v>
      </c>
      <c r="B742" s="72" t="s">
        <v>153</v>
      </c>
      <c r="C742" s="72" t="s">
        <v>9</v>
      </c>
      <c r="D742" s="72" t="s">
        <v>299</v>
      </c>
      <c r="E742" s="73">
        <v>5.0</v>
      </c>
    </row>
    <row r="743" ht="15.75" hidden="1" customHeight="1">
      <c r="A743" s="75">
        <v>46200.0</v>
      </c>
      <c r="B743" s="72" t="s">
        <v>166</v>
      </c>
      <c r="C743" s="72" t="s">
        <v>166</v>
      </c>
      <c r="D743" s="72" t="s">
        <v>300</v>
      </c>
      <c r="E743" s="73">
        <v>0.0</v>
      </c>
    </row>
    <row r="744" ht="15.75" hidden="1" customHeight="1">
      <c r="A744" s="75">
        <v>46200.0</v>
      </c>
      <c r="B744" s="72" t="s">
        <v>153</v>
      </c>
      <c r="C744" s="72" t="s">
        <v>9</v>
      </c>
      <c r="D744" s="72" t="s">
        <v>337</v>
      </c>
      <c r="E744" s="73">
        <v>63.0</v>
      </c>
    </row>
    <row r="745" ht="15.75" hidden="1" customHeight="1">
      <c r="A745" s="75">
        <v>46200.0</v>
      </c>
      <c r="B745" s="72" t="s">
        <v>166</v>
      </c>
      <c r="C745" s="72" t="s">
        <v>166</v>
      </c>
      <c r="D745" s="72" t="s">
        <v>332</v>
      </c>
      <c r="E745" s="73">
        <v>-100000.0</v>
      </c>
    </row>
    <row r="746" ht="15.75" hidden="1" customHeight="1">
      <c r="A746" s="75">
        <v>46200.0</v>
      </c>
      <c r="B746" s="72" t="s">
        <v>166</v>
      </c>
      <c r="C746" s="72" t="s">
        <v>166</v>
      </c>
      <c r="D746" s="72" t="s">
        <v>331</v>
      </c>
      <c r="E746" s="73">
        <v>-100000.0</v>
      </c>
    </row>
    <row r="747" ht="15.75" hidden="1" customHeight="1">
      <c r="A747" s="75">
        <v>46200.0</v>
      </c>
      <c r="B747" s="72" t="s">
        <v>150</v>
      </c>
      <c r="C747" s="72" t="s">
        <v>124</v>
      </c>
      <c r="D747" s="72" t="s">
        <v>450</v>
      </c>
      <c r="E747" s="73">
        <v>-24500.0</v>
      </c>
    </row>
    <row r="748" ht="15.75" hidden="1" customHeight="1">
      <c r="A748" s="75">
        <v>46200.0</v>
      </c>
      <c r="B748" s="72" t="s">
        <v>153</v>
      </c>
      <c r="C748" s="72" t="s">
        <v>9</v>
      </c>
      <c r="D748" s="72" t="s">
        <v>154</v>
      </c>
      <c r="E748" s="73">
        <v>122.0</v>
      </c>
    </row>
    <row r="749" ht="15.75" hidden="1" customHeight="1">
      <c r="A749" s="75">
        <v>46200.0</v>
      </c>
      <c r="B749" s="72" t="s">
        <v>150</v>
      </c>
      <c r="C749" s="72" t="s">
        <v>124</v>
      </c>
      <c r="D749" s="72" t="s">
        <v>451</v>
      </c>
      <c r="E749" s="73">
        <v>-33000.0</v>
      </c>
    </row>
    <row r="750" ht="15.75" hidden="1" customHeight="1">
      <c r="A750" s="75">
        <v>46200.0</v>
      </c>
      <c r="B750" s="72" t="s">
        <v>153</v>
      </c>
      <c r="C750" s="72" t="s">
        <v>9</v>
      </c>
      <c r="D750" s="72" t="s">
        <v>154</v>
      </c>
      <c r="E750" s="73">
        <v>165.0</v>
      </c>
    </row>
    <row r="751" ht="15.75" hidden="1" customHeight="1">
      <c r="A751" s="75">
        <v>46200.0</v>
      </c>
      <c r="B751" s="72" t="s">
        <v>150</v>
      </c>
      <c r="C751" s="72" t="s">
        <v>122</v>
      </c>
      <c r="D751" s="72" t="s">
        <v>452</v>
      </c>
      <c r="E751" s="73">
        <v>-21000.0</v>
      </c>
    </row>
    <row r="752" ht="15.75" hidden="1" customHeight="1">
      <c r="A752" s="75">
        <v>46200.0</v>
      </c>
      <c r="B752" s="72" t="s">
        <v>153</v>
      </c>
      <c r="C752" s="72" t="s">
        <v>9</v>
      </c>
      <c r="D752" s="72" t="s">
        <v>154</v>
      </c>
      <c r="E752" s="73">
        <v>105.0</v>
      </c>
    </row>
    <row r="753" ht="15.75" hidden="1" customHeight="1">
      <c r="A753" s="75">
        <v>46200.0</v>
      </c>
      <c r="B753" s="72" t="s">
        <v>150</v>
      </c>
      <c r="C753" s="72" t="s">
        <v>122</v>
      </c>
      <c r="D753" s="72" t="s">
        <v>168</v>
      </c>
      <c r="E753" s="73">
        <v>-10000.0</v>
      </c>
    </row>
    <row r="754" ht="15.75" hidden="1" customHeight="1">
      <c r="A754" s="75">
        <v>46200.0</v>
      </c>
      <c r="B754" s="72" t="s">
        <v>150</v>
      </c>
      <c r="C754" s="72" t="s">
        <v>124</v>
      </c>
      <c r="D754" s="72" t="s">
        <v>453</v>
      </c>
      <c r="E754" s="73">
        <v>-5000.0</v>
      </c>
    </row>
    <row r="755" ht="15.75" hidden="1" customHeight="1">
      <c r="A755" s="75">
        <v>46200.0</v>
      </c>
      <c r="B755" s="72" t="s">
        <v>153</v>
      </c>
      <c r="C755" s="72" t="s">
        <v>9</v>
      </c>
      <c r="D755" s="72" t="s">
        <v>154</v>
      </c>
      <c r="E755" s="73">
        <v>25.0</v>
      </c>
    </row>
    <row r="756" ht="15.75" hidden="1" customHeight="1">
      <c r="A756" s="75">
        <v>46200.0</v>
      </c>
      <c r="B756" s="72" t="s">
        <v>166</v>
      </c>
      <c r="C756" s="72" t="s">
        <v>179</v>
      </c>
      <c r="D756" s="72" t="s">
        <v>186</v>
      </c>
      <c r="E756" s="73">
        <v>100000.0</v>
      </c>
    </row>
    <row r="757" ht="15.75" hidden="1" customHeight="1">
      <c r="A757" s="75">
        <v>46200.0</v>
      </c>
      <c r="B757" s="72" t="s">
        <v>150</v>
      </c>
      <c r="C757" s="72" t="s">
        <v>122</v>
      </c>
      <c r="D757" s="72" t="s">
        <v>454</v>
      </c>
      <c r="E757" s="73">
        <v>-72000.0</v>
      </c>
    </row>
    <row r="758" ht="15.75" hidden="1" customHeight="1">
      <c r="A758" s="75">
        <v>46200.0</v>
      </c>
      <c r="B758" s="72" t="s">
        <v>153</v>
      </c>
      <c r="C758" s="72" t="s">
        <v>9</v>
      </c>
      <c r="D758" s="72" t="s">
        <v>154</v>
      </c>
      <c r="E758" s="73">
        <v>360.0</v>
      </c>
    </row>
    <row r="759" ht="15.75" hidden="1" customHeight="1">
      <c r="A759" s="75">
        <v>46200.0</v>
      </c>
      <c r="B759" s="72" t="s">
        <v>150</v>
      </c>
      <c r="C759" s="72" t="s">
        <v>122</v>
      </c>
      <c r="D759" s="72" t="s">
        <v>455</v>
      </c>
      <c r="E759" s="73">
        <v>-3300.0</v>
      </c>
    </row>
    <row r="760" ht="15.75" hidden="1" customHeight="1">
      <c r="A760" s="75">
        <v>46200.0</v>
      </c>
      <c r="B760" s="72" t="s">
        <v>153</v>
      </c>
      <c r="C760" s="72" t="s">
        <v>9</v>
      </c>
      <c r="D760" s="72" t="s">
        <v>154</v>
      </c>
      <c r="E760" s="73">
        <v>16.0</v>
      </c>
    </row>
    <row r="761" ht="15.75" hidden="1" customHeight="1">
      <c r="A761" s="75">
        <v>46200.0</v>
      </c>
      <c r="B761" s="72" t="s">
        <v>166</v>
      </c>
      <c r="C761" s="72" t="s">
        <v>174</v>
      </c>
      <c r="D761" s="72" t="s">
        <v>301</v>
      </c>
      <c r="E761" s="73">
        <v>0.0</v>
      </c>
    </row>
    <row r="762" ht="15.75" hidden="1" customHeight="1">
      <c r="A762" s="75">
        <v>46200.0</v>
      </c>
      <c r="B762" s="72" t="s">
        <v>166</v>
      </c>
      <c r="C762" s="72" t="s">
        <v>174</v>
      </c>
      <c r="D762" s="72" t="s">
        <v>301</v>
      </c>
      <c r="E762" s="73">
        <v>600.0</v>
      </c>
    </row>
    <row r="763" ht="15.75" hidden="1" customHeight="1">
      <c r="A763" s="75">
        <v>46200.0</v>
      </c>
      <c r="B763" s="72" t="s">
        <v>153</v>
      </c>
      <c r="C763" s="72" t="s">
        <v>9</v>
      </c>
      <c r="D763" s="72" t="s">
        <v>299</v>
      </c>
      <c r="E763" s="73">
        <v>5.0</v>
      </c>
    </row>
    <row r="764" ht="15.75" hidden="1" customHeight="1">
      <c r="A764" s="75">
        <v>46200.0</v>
      </c>
      <c r="B764" s="72" t="s">
        <v>153</v>
      </c>
      <c r="C764" s="72" t="s">
        <v>9</v>
      </c>
      <c r="D764" s="72" t="s">
        <v>300</v>
      </c>
      <c r="E764" s="73">
        <v>1.0</v>
      </c>
    </row>
    <row r="765" ht="15.75" hidden="1" customHeight="1">
      <c r="A765" s="75">
        <v>46200.0</v>
      </c>
      <c r="B765" s="72" t="s">
        <v>166</v>
      </c>
      <c r="C765" s="72" t="s">
        <v>166</v>
      </c>
      <c r="D765" s="72" t="s">
        <v>300</v>
      </c>
      <c r="E765" s="73">
        <v>0.0</v>
      </c>
    </row>
    <row r="766" ht="15.75" hidden="1" customHeight="1">
      <c r="A766" s="75">
        <v>46200.0</v>
      </c>
      <c r="B766" s="72" t="s">
        <v>166</v>
      </c>
      <c r="C766" s="72" t="s">
        <v>166</v>
      </c>
      <c r="D766" s="72" t="s">
        <v>300</v>
      </c>
      <c r="E766" s="73">
        <v>0.0</v>
      </c>
    </row>
    <row r="767" ht="15.75" hidden="1" customHeight="1">
      <c r="A767" s="75">
        <v>46201.0</v>
      </c>
      <c r="B767" s="72" t="s">
        <v>150</v>
      </c>
      <c r="C767" s="72" t="s">
        <v>119</v>
      </c>
      <c r="D767" s="72" t="s">
        <v>456</v>
      </c>
      <c r="E767" s="73">
        <v>-5949.0</v>
      </c>
    </row>
    <row r="768" ht="15.75" hidden="1" customHeight="1">
      <c r="A768" s="75">
        <v>46201.0</v>
      </c>
      <c r="B768" s="72" t="s">
        <v>150</v>
      </c>
      <c r="C768" s="72" t="s">
        <v>119</v>
      </c>
      <c r="D768" s="72" t="s">
        <v>456</v>
      </c>
      <c r="E768" s="73">
        <v>-33711.0</v>
      </c>
    </row>
    <row r="769" ht="15.75" hidden="1" customHeight="1">
      <c r="A769" s="75">
        <v>46201.0</v>
      </c>
      <c r="B769" s="72" t="s">
        <v>150</v>
      </c>
      <c r="C769" s="72" t="s">
        <v>122</v>
      </c>
      <c r="D769" s="72" t="s">
        <v>457</v>
      </c>
      <c r="E769" s="73">
        <v>-9700.0</v>
      </c>
    </row>
    <row r="770" ht="15.75" hidden="1" customHeight="1">
      <c r="A770" s="75">
        <v>46201.0</v>
      </c>
      <c r="B770" s="72" t="s">
        <v>153</v>
      </c>
      <c r="C770" s="72" t="s">
        <v>9</v>
      </c>
      <c r="D770" s="72" t="s">
        <v>458</v>
      </c>
      <c r="E770" s="73">
        <v>300000.0</v>
      </c>
    </row>
    <row r="771" ht="15.75" hidden="1" customHeight="1">
      <c r="A771" s="75">
        <v>46201.0</v>
      </c>
      <c r="B771" s="72" t="s">
        <v>153</v>
      </c>
      <c r="C771" s="72" t="s">
        <v>9</v>
      </c>
      <c r="D771" s="72" t="s">
        <v>459</v>
      </c>
      <c r="E771" s="73">
        <v>300000.0</v>
      </c>
    </row>
    <row r="772" ht="15.75" hidden="1" customHeight="1">
      <c r="A772" s="75">
        <v>46201.0</v>
      </c>
      <c r="B772" s="72" t="s">
        <v>150</v>
      </c>
      <c r="C772" s="72" t="s">
        <v>122</v>
      </c>
      <c r="D772" s="72" t="s">
        <v>223</v>
      </c>
      <c r="E772" s="73">
        <v>-25500.0</v>
      </c>
    </row>
    <row r="773" ht="15.75" hidden="1" customHeight="1">
      <c r="A773" s="75">
        <v>46201.0</v>
      </c>
      <c r="B773" s="72" t="s">
        <v>166</v>
      </c>
      <c r="C773" s="72" t="s">
        <v>161</v>
      </c>
      <c r="D773" s="72" t="s">
        <v>180</v>
      </c>
      <c r="E773" s="73">
        <v>0.0</v>
      </c>
    </row>
    <row r="774" ht="15.75" hidden="1" customHeight="1">
      <c r="A774" s="75">
        <v>46202.0</v>
      </c>
      <c r="B774" s="72" t="s">
        <v>153</v>
      </c>
      <c r="C774" s="72" t="s">
        <v>9</v>
      </c>
      <c r="D774" s="72" t="s">
        <v>460</v>
      </c>
      <c r="E774" s="73">
        <v>22126.0</v>
      </c>
    </row>
    <row r="775" ht="15.75" hidden="1" customHeight="1">
      <c r="A775" s="75">
        <v>46202.0</v>
      </c>
      <c r="B775" s="72" t="s">
        <v>150</v>
      </c>
      <c r="C775" s="72" t="s">
        <v>117</v>
      </c>
      <c r="D775" s="72" t="s">
        <v>186</v>
      </c>
      <c r="E775" s="73">
        <v>-30000.0</v>
      </c>
    </row>
    <row r="776" ht="15.75" hidden="1" customHeight="1">
      <c r="A776" s="75">
        <v>46202.0</v>
      </c>
      <c r="B776" s="72" t="s">
        <v>150</v>
      </c>
      <c r="C776" s="72" t="s">
        <v>117</v>
      </c>
      <c r="D776" s="72" t="s">
        <v>461</v>
      </c>
      <c r="E776" s="73">
        <v>-30000.0</v>
      </c>
    </row>
    <row r="777" ht="15.75" hidden="1" customHeight="1">
      <c r="A777" s="75">
        <v>46202.0</v>
      </c>
      <c r="B777" s="72" t="s">
        <v>166</v>
      </c>
      <c r="C777" s="72" t="s">
        <v>179</v>
      </c>
      <c r="D777" s="72" t="s">
        <v>186</v>
      </c>
      <c r="E777" s="73">
        <v>125000.0</v>
      </c>
    </row>
    <row r="778" ht="15.75" hidden="1" customHeight="1">
      <c r="A778" s="75">
        <v>46202.0</v>
      </c>
      <c r="B778" s="72" t="s">
        <v>166</v>
      </c>
      <c r="C778" s="72" t="s">
        <v>179</v>
      </c>
      <c r="D778" s="72" t="s">
        <v>186</v>
      </c>
      <c r="E778" s="73">
        <v>-125000.0</v>
      </c>
    </row>
    <row r="779" ht="15.75" hidden="1" customHeight="1">
      <c r="A779" s="75">
        <v>46202.0</v>
      </c>
      <c r="B779" s="72" t="s">
        <v>150</v>
      </c>
      <c r="C779" s="72" t="s">
        <v>117</v>
      </c>
      <c r="D779" s="72" t="s">
        <v>461</v>
      </c>
      <c r="E779" s="73">
        <v>-25000.0</v>
      </c>
    </row>
    <row r="780" ht="15.75" hidden="1" customHeight="1">
      <c r="A780" s="75">
        <v>46202.0</v>
      </c>
      <c r="B780" s="72" t="s">
        <v>150</v>
      </c>
      <c r="C780" s="72" t="s">
        <v>117</v>
      </c>
      <c r="D780" s="72" t="s">
        <v>462</v>
      </c>
      <c r="E780" s="73">
        <v>-20000.0</v>
      </c>
    </row>
    <row r="781" ht="15.75" hidden="1" customHeight="1">
      <c r="A781" s="75">
        <v>46202.0</v>
      </c>
      <c r="B781" s="72" t="s">
        <v>150</v>
      </c>
      <c r="C781" s="72" t="s">
        <v>117</v>
      </c>
      <c r="D781" s="72" t="s">
        <v>463</v>
      </c>
      <c r="E781" s="73">
        <v>-20000.0</v>
      </c>
    </row>
    <row r="782" ht="15.75" hidden="1" customHeight="1">
      <c r="A782" s="75">
        <v>46202.0</v>
      </c>
      <c r="B782" s="72" t="s">
        <v>166</v>
      </c>
      <c r="C782" s="72" t="s">
        <v>174</v>
      </c>
      <c r="D782" s="72" t="s">
        <v>217</v>
      </c>
      <c r="E782" s="73">
        <v>30000.0</v>
      </c>
    </row>
    <row r="783" ht="15.75" hidden="1" customHeight="1">
      <c r="A783" s="75">
        <v>46202.0</v>
      </c>
      <c r="B783" s="72" t="s">
        <v>166</v>
      </c>
      <c r="C783" s="72" t="s">
        <v>179</v>
      </c>
      <c r="D783" s="72" t="s">
        <v>186</v>
      </c>
      <c r="E783" s="73">
        <v>-1200000.0</v>
      </c>
    </row>
    <row r="784" ht="15.75" hidden="1" customHeight="1">
      <c r="A784" s="75">
        <v>46202.0</v>
      </c>
      <c r="B784" s="72" t="s">
        <v>166</v>
      </c>
      <c r="C784" s="72" t="s">
        <v>179</v>
      </c>
      <c r="D784" s="72" t="s">
        <v>186</v>
      </c>
      <c r="E784" s="73">
        <v>-300000.0</v>
      </c>
    </row>
    <row r="785" ht="15.75" hidden="1" customHeight="1">
      <c r="A785" s="75">
        <v>46202.0</v>
      </c>
      <c r="B785" s="72" t="s">
        <v>166</v>
      </c>
      <c r="C785" s="72" t="s">
        <v>179</v>
      </c>
      <c r="D785" s="72" t="s">
        <v>186</v>
      </c>
      <c r="E785" s="73">
        <v>300000.0</v>
      </c>
    </row>
    <row r="786" ht="15.75" hidden="1" customHeight="1">
      <c r="A786" s="75">
        <v>46202.0</v>
      </c>
      <c r="B786" s="72" t="s">
        <v>150</v>
      </c>
      <c r="C786" s="72" t="s">
        <v>122</v>
      </c>
      <c r="D786" s="72" t="s">
        <v>464</v>
      </c>
      <c r="E786" s="73">
        <v>-5900.0</v>
      </c>
    </row>
    <row r="787" ht="15.75" hidden="1" customHeight="1">
      <c r="A787" s="75">
        <v>46202.0</v>
      </c>
      <c r="B787" s="72" t="s">
        <v>166</v>
      </c>
      <c r="C787" s="72" t="s">
        <v>179</v>
      </c>
      <c r="D787" s="72" t="s">
        <v>465</v>
      </c>
      <c r="E787" s="73">
        <v>-300000.0</v>
      </c>
    </row>
    <row r="788" ht="15.75" hidden="1" customHeight="1">
      <c r="A788" s="75">
        <v>46202.0</v>
      </c>
      <c r="B788" s="72" t="s">
        <v>166</v>
      </c>
      <c r="C788" s="72" t="s">
        <v>179</v>
      </c>
      <c r="D788" s="72" t="s">
        <v>186</v>
      </c>
      <c r="E788" s="73">
        <v>300000.0</v>
      </c>
    </row>
    <row r="789" ht="15.75" hidden="1" customHeight="1">
      <c r="A789" s="75">
        <v>46202.0</v>
      </c>
      <c r="B789" s="72" t="s">
        <v>166</v>
      </c>
      <c r="C789" s="72" t="s">
        <v>179</v>
      </c>
      <c r="D789" s="72" t="s">
        <v>186</v>
      </c>
      <c r="E789" s="73">
        <v>-600000.0</v>
      </c>
    </row>
    <row r="790" ht="15.75" hidden="1" customHeight="1">
      <c r="A790" s="75">
        <v>46202.0</v>
      </c>
      <c r="B790" s="72" t="s">
        <v>166</v>
      </c>
      <c r="C790" s="72" t="s">
        <v>166</v>
      </c>
      <c r="D790" s="72" t="s">
        <v>167</v>
      </c>
      <c r="E790" s="73">
        <v>30000.0</v>
      </c>
    </row>
    <row r="791" ht="15.75" hidden="1" customHeight="1">
      <c r="A791" s="75">
        <v>46202.0</v>
      </c>
      <c r="B791" s="72" t="s">
        <v>150</v>
      </c>
      <c r="C791" s="72" t="s">
        <v>122</v>
      </c>
      <c r="D791" s="72" t="s">
        <v>375</v>
      </c>
      <c r="E791" s="73">
        <v>-3500.0</v>
      </c>
    </row>
    <row r="792" ht="15.75" hidden="1" customHeight="1">
      <c r="A792" s="75">
        <v>46202.0</v>
      </c>
      <c r="B792" s="72" t="s">
        <v>153</v>
      </c>
      <c r="C792" s="72" t="s">
        <v>9</v>
      </c>
      <c r="D792" s="72" t="s">
        <v>154</v>
      </c>
      <c r="E792" s="73">
        <v>17.0</v>
      </c>
    </row>
    <row r="793" ht="15.75" hidden="1" customHeight="1">
      <c r="A793" s="75">
        <v>46202.0</v>
      </c>
      <c r="B793" s="72" t="s">
        <v>150</v>
      </c>
      <c r="C793" s="72" t="s">
        <v>122</v>
      </c>
      <c r="D793" s="72" t="s">
        <v>372</v>
      </c>
      <c r="E793" s="73">
        <v>-16999.0</v>
      </c>
    </row>
    <row r="794" ht="15.75" hidden="1" customHeight="1">
      <c r="A794" s="75">
        <v>46202.0</v>
      </c>
      <c r="B794" s="72" t="s">
        <v>150</v>
      </c>
      <c r="C794" s="72" t="s">
        <v>122</v>
      </c>
      <c r="D794" s="72" t="s">
        <v>223</v>
      </c>
      <c r="E794" s="73">
        <v>-28900.0</v>
      </c>
    </row>
    <row r="795" ht="15.75" hidden="1" customHeight="1">
      <c r="A795" s="75">
        <v>46203.0</v>
      </c>
      <c r="B795" s="72" t="s">
        <v>153</v>
      </c>
      <c r="C795" s="72" t="s">
        <v>9</v>
      </c>
      <c r="D795" s="72" t="s">
        <v>185</v>
      </c>
      <c r="E795" s="73">
        <v>220.0</v>
      </c>
    </row>
    <row r="796" ht="15.75" hidden="1" customHeight="1">
      <c r="A796" s="75">
        <v>46203.0</v>
      </c>
      <c r="B796" s="72" t="s">
        <v>150</v>
      </c>
      <c r="C796" s="72" t="s">
        <v>126</v>
      </c>
      <c r="D796" s="72" t="s">
        <v>360</v>
      </c>
      <c r="E796" s="73">
        <v>-184800.0</v>
      </c>
      <c r="F796" s="76" t="s">
        <v>208</v>
      </c>
    </row>
    <row r="797" ht="15.75" hidden="1" customHeight="1">
      <c r="A797" s="75">
        <v>46203.0</v>
      </c>
      <c r="B797" s="72" t="s">
        <v>166</v>
      </c>
      <c r="C797" s="72" t="s">
        <v>166</v>
      </c>
      <c r="D797" s="72" t="s">
        <v>186</v>
      </c>
      <c r="E797" s="73">
        <v>3.0E7</v>
      </c>
    </row>
    <row r="798" ht="15.75" hidden="1" customHeight="1">
      <c r="A798" s="75">
        <v>46203.0</v>
      </c>
      <c r="B798" s="72" t="s">
        <v>166</v>
      </c>
      <c r="C798" s="72" t="s">
        <v>166</v>
      </c>
      <c r="D798" s="72" t="s">
        <v>466</v>
      </c>
      <c r="E798" s="73">
        <v>3.2E7</v>
      </c>
    </row>
    <row r="799" ht="15.75" hidden="1" customHeight="1">
      <c r="A799" s="75">
        <v>46203.0</v>
      </c>
      <c r="B799" s="72" t="s">
        <v>166</v>
      </c>
      <c r="C799" s="72" t="s">
        <v>166</v>
      </c>
      <c r="D799" s="72" t="s">
        <v>268</v>
      </c>
      <c r="E799" s="73">
        <v>8.8E7</v>
      </c>
    </row>
    <row r="800" ht="15.75" hidden="1" customHeight="1">
      <c r="A800" s="75">
        <v>46203.0</v>
      </c>
      <c r="B800" s="72" t="s">
        <v>166</v>
      </c>
      <c r="C800" s="72" t="s">
        <v>166</v>
      </c>
      <c r="D800" s="72" t="s">
        <v>274</v>
      </c>
      <c r="E800" s="73">
        <v>-1.0E8</v>
      </c>
    </row>
    <row r="801" ht="15.75" hidden="1" customHeight="1">
      <c r="A801" s="75">
        <v>46203.0</v>
      </c>
      <c r="B801" s="72" t="s">
        <v>166</v>
      </c>
      <c r="C801" s="72" t="s">
        <v>166</v>
      </c>
      <c r="D801" s="72" t="s">
        <v>274</v>
      </c>
      <c r="E801" s="73">
        <v>-5.0E7</v>
      </c>
    </row>
    <row r="802" ht="15.75" hidden="1" customHeight="1">
      <c r="A802" s="75">
        <v>46203.0</v>
      </c>
      <c r="B802" s="72" t="s">
        <v>150</v>
      </c>
      <c r="C802" s="72" t="s">
        <v>122</v>
      </c>
      <c r="D802" s="72" t="s">
        <v>156</v>
      </c>
      <c r="E802" s="73">
        <v>-7900.0</v>
      </c>
    </row>
    <row r="803" ht="15.75" hidden="1" customHeight="1">
      <c r="A803" s="75">
        <v>46204.0</v>
      </c>
      <c r="B803" s="72" t="s">
        <v>150</v>
      </c>
      <c r="C803" s="72" t="s">
        <v>124</v>
      </c>
      <c r="D803" s="72" t="s">
        <v>467</v>
      </c>
      <c r="E803" s="73">
        <v>-6000.0</v>
      </c>
    </row>
    <row r="804" ht="15.75" hidden="1" customHeight="1">
      <c r="A804" s="75">
        <v>46204.0</v>
      </c>
      <c r="B804" s="72" t="s">
        <v>150</v>
      </c>
      <c r="C804" s="72" t="s">
        <v>122</v>
      </c>
      <c r="D804" s="72" t="s">
        <v>201</v>
      </c>
      <c r="E804" s="73">
        <v>-15000.0</v>
      </c>
    </row>
    <row r="805" ht="15.75" hidden="1" customHeight="1">
      <c r="A805" s="75">
        <v>46204.0</v>
      </c>
      <c r="B805" s="72" t="s">
        <v>153</v>
      </c>
      <c r="C805" s="72" t="s">
        <v>9</v>
      </c>
      <c r="D805" s="72" t="s">
        <v>154</v>
      </c>
      <c r="E805" s="73">
        <v>50.0</v>
      </c>
    </row>
    <row r="806" ht="15.75" hidden="1" customHeight="1">
      <c r="A806" s="75">
        <v>46204.0</v>
      </c>
      <c r="B806" s="72" t="s">
        <v>150</v>
      </c>
      <c r="C806" s="72" t="s">
        <v>122</v>
      </c>
      <c r="D806" s="72" t="s">
        <v>375</v>
      </c>
      <c r="E806" s="73">
        <v>-10000.0</v>
      </c>
    </row>
    <row r="807" ht="15.75" hidden="1" customHeight="1">
      <c r="A807" s="75">
        <v>46204.0</v>
      </c>
      <c r="B807" s="72" t="s">
        <v>153</v>
      </c>
      <c r="C807" s="72" t="s">
        <v>9</v>
      </c>
      <c r="D807" s="72" t="s">
        <v>162</v>
      </c>
      <c r="E807" s="73">
        <v>23.0</v>
      </c>
    </row>
    <row r="808" ht="15.75" hidden="1" customHeight="1">
      <c r="A808" s="75">
        <v>46204.0</v>
      </c>
      <c r="B808" s="72" t="s">
        <v>150</v>
      </c>
      <c r="C808" s="72" t="s">
        <v>122</v>
      </c>
      <c r="D808" s="72" t="s">
        <v>468</v>
      </c>
      <c r="E808" s="73">
        <v>-15060.0</v>
      </c>
    </row>
    <row r="809" ht="15.75" hidden="1" customHeight="1">
      <c r="A809" s="75">
        <v>46204.0</v>
      </c>
      <c r="B809" s="72" t="s">
        <v>150</v>
      </c>
      <c r="C809" s="72" t="s">
        <v>122</v>
      </c>
      <c r="D809" s="72" t="s">
        <v>469</v>
      </c>
      <c r="E809" s="73">
        <v>-14900.0</v>
      </c>
    </row>
    <row r="810" ht="15.75" hidden="1" customHeight="1">
      <c r="A810" s="75">
        <v>46204.0</v>
      </c>
      <c r="B810" s="72" t="s">
        <v>150</v>
      </c>
      <c r="C810" s="72" t="s">
        <v>131</v>
      </c>
      <c r="D810" s="72" t="s">
        <v>470</v>
      </c>
      <c r="E810" s="73">
        <v>-3200.0</v>
      </c>
    </row>
    <row r="811" ht="15.75" hidden="1" customHeight="1">
      <c r="A811" s="75">
        <v>46204.0</v>
      </c>
      <c r="B811" s="72" t="s">
        <v>150</v>
      </c>
      <c r="C811" s="72" t="s">
        <v>128</v>
      </c>
      <c r="D811" s="72" t="s">
        <v>471</v>
      </c>
      <c r="E811" s="73">
        <v>-3600.0</v>
      </c>
    </row>
    <row r="812" ht="15.75" hidden="1" customHeight="1">
      <c r="A812" s="75">
        <v>46204.0</v>
      </c>
      <c r="B812" s="72" t="s">
        <v>166</v>
      </c>
      <c r="C812" s="72" t="s">
        <v>166</v>
      </c>
      <c r="D812" s="72" t="s">
        <v>192</v>
      </c>
      <c r="E812" s="73">
        <v>-200000.0</v>
      </c>
    </row>
    <row r="813" ht="15.75" hidden="1" customHeight="1">
      <c r="A813" s="75">
        <v>46204.0</v>
      </c>
      <c r="B813" s="72" t="s">
        <v>153</v>
      </c>
      <c r="C813" s="72" t="s">
        <v>210</v>
      </c>
      <c r="D813" s="72" t="s">
        <v>220</v>
      </c>
      <c r="E813" s="73">
        <v>174800.0</v>
      </c>
      <c r="F813" s="76" t="s">
        <v>212</v>
      </c>
    </row>
    <row r="814" ht="15.75" hidden="1" customHeight="1">
      <c r="A814" s="75">
        <v>46204.0</v>
      </c>
      <c r="B814" s="72" t="s">
        <v>166</v>
      </c>
      <c r="C814" s="72" t="s">
        <v>179</v>
      </c>
      <c r="D814" s="72" t="s">
        <v>217</v>
      </c>
      <c r="E814" s="73">
        <v>30000.0</v>
      </c>
    </row>
    <row r="815" ht="15.75" hidden="1" customHeight="1">
      <c r="A815" s="75">
        <v>46204.0</v>
      </c>
      <c r="B815" s="72" t="s">
        <v>166</v>
      </c>
      <c r="C815" s="72" t="s">
        <v>179</v>
      </c>
      <c r="D815" s="72" t="s">
        <v>216</v>
      </c>
      <c r="E815" s="73">
        <v>-30000.0</v>
      </c>
    </row>
    <row r="816" ht="15.75" hidden="1" customHeight="1">
      <c r="A816" s="75">
        <v>46204.0</v>
      </c>
      <c r="B816" s="72" t="s">
        <v>166</v>
      </c>
      <c r="C816" s="72" t="s">
        <v>179</v>
      </c>
      <c r="D816" s="72" t="s">
        <v>248</v>
      </c>
      <c r="E816" s="73">
        <v>30000.0</v>
      </c>
    </row>
    <row r="817" ht="15.75" hidden="1" customHeight="1">
      <c r="A817" s="75">
        <v>46204.0</v>
      </c>
      <c r="B817" s="72" t="s">
        <v>150</v>
      </c>
      <c r="C817" s="72" t="s">
        <v>117</v>
      </c>
      <c r="D817" s="72" t="s">
        <v>164</v>
      </c>
      <c r="E817" s="73">
        <v>-20000.0</v>
      </c>
    </row>
    <row r="818" ht="15.75" hidden="1" customHeight="1">
      <c r="A818" s="75">
        <v>46204.0</v>
      </c>
      <c r="B818" s="72" t="s">
        <v>150</v>
      </c>
      <c r="C818" s="72" t="s">
        <v>117</v>
      </c>
      <c r="D818" s="72" t="s">
        <v>248</v>
      </c>
      <c r="E818" s="73">
        <v>-30000.0</v>
      </c>
    </row>
    <row r="819" ht="15.75" hidden="1" customHeight="1">
      <c r="A819" s="75">
        <v>46204.0</v>
      </c>
      <c r="B819" s="72" t="s">
        <v>166</v>
      </c>
      <c r="C819" s="72" t="s">
        <v>166</v>
      </c>
      <c r="D819" s="72" t="s">
        <v>186</v>
      </c>
      <c r="E819" s="73">
        <v>-90176.0</v>
      </c>
    </row>
    <row r="820" ht="15.75" hidden="1" customHeight="1">
      <c r="A820" s="75">
        <v>46204.0</v>
      </c>
      <c r="B820" s="72" t="s">
        <v>166</v>
      </c>
      <c r="C820" s="72" t="s">
        <v>166</v>
      </c>
      <c r="D820" s="72" t="s">
        <v>186</v>
      </c>
      <c r="E820" s="73">
        <v>-100000.0</v>
      </c>
    </row>
    <row r="821" ht="15.75" hidden="1" customHeight="1">
      <c r="A821" s="75">
        <v>46204.0</v>
      </c>
      <c r="B821" s="72" t="s">
        <v>166</v>
      </c>
      <c r="C821" s="72" t="s">
        <v>166</v>
      </c>
      <c r="D821" s="72" t="s">
        <v>192</v>
      </c>
      <c r="E821" s="73">
        <v>-500000.0</v>
      </c>
    </row>
    <row r="822" ht="15.75" hidden="1" customHeight="1">
      <c r="A822" s="75">
        <v>46204.0</v>
      </c>
      <c r="B822" s="72" t="s">
        <v>166</v>
      </c>
      <c r="C822" s="72" t="s">
        <v>166</v>
      </c>
      <c r="D822" s="72" t="s">
        <v>186</v>
      </c>
      <c r="E822" s="73">
        <v>-800000.0</v>
      </c>
    </row>
    <row r="823" ht="15.75" hidden="1" customHeight="1">
      <c r="A823" s="75">
        <v>46205.0</v>
      </c>
      <c r="B823" s="72" t="s">
        <v>150</v>
      </c>
      <c r="C823" s="72" t="s">
        <v>126</v>
      </c>
      <c r="D823" s="72" t="s">
        <v>360</v>
      </c>
      <c r="E823" s="73">
        <v>-104100.0</v>
      </c>
      <c r="F823" s="76" t="s">
        <v>208</v>
      </c>
    </row>
    <row r="824" ht="15.75" hidden="1" customHeight="1">
      <c r="A824" s="75">
        <v>46205.0</v>
      </c>
      <c r="B824" s="72" t="s">
        <v>150</v>
      </c>
      <c r="C824" s="72" t="s">
        <v>124</v>
      </c>
      <c r="D824" s="72" t="s">
        <v>472</v>
      </c>
      <c r="E824" s="73">
        <v>-16830.0</v>
      </c>
    </row>
    <row r="825" ht="15.75" hidden="1" customHeight="1">
      <c r="A825" s="75">
        <v>46205.0</v>
      </c>
      <c r="B825" s="72" t="s">
        <v>166</v>
      </c>
      <c r="C825" s="72" t="s">
        <v>179</v>
      </c>
      <c r="D825" s="72" t="s">
        <v>216</v>
      </c>
      <c r="E825" s="73">
        <v>-30000.0</v>
      </c>
    </row>
    <row r="826" ht="15.75" hidden="1" customHeight="1">
      <c r="A826" s="75">
        <v>46205.0</v>
      </c>
      <c r="B826" s="72" t="s">
        <v>166</v>
      </c>
      <c r="C826" s="72" t="s">
        <v>179</v>
      </c>
      <c r="D826" s="72" t="s">
        <v>217</v>
      </c>
      <c r="E826" s="73">
        <v>30000.0</v>
      </c>
    </row>
    <row r="827" ht="15.75" hidden="1" customHeight="1">
      <c r="A827" s="75">
        <v>46205.0</v>
      </c>
      <c r="B827" s="72" t="s">
        <v>150</v>
      </c>
      <c r="C827" s="72" t="s">
        <v>122</v>
      </c>
      <c r="D827" s="72" t="s">
        <v>375</v>
      </c>
      <c r="E827" s="73">
        <v>-8500.0</v>
      </c>
    </row>
    <row r="828" ht="15.75" hidden="1" customHeight="1">
      <c r="A828" s="75">
        <v>46205.0</v>
      </c>
      <c r="B828" s="72" t="s">
        <v>150</v>
      </c>
      <c r="C828" s="72" t="s">
        <v>119</v>
      </c>
      <c r="D828" s="72" t="s">
        <v>355</v>
      </c>
      <c r="E828" s="73">
        <v>-3000.0</v>
      </c>
    </row>
    <row r="829" ht="15.75" hidden="1" customHeight="1">
      <c r="A829" s="75">
        <v>46205.0</v>
      </c>
      <c r="B829" s="72" t="s">
        <v>150</v>
      </c>
      <c r="C829" s="72" t="s">
        <v>119</v>
      </c>
      <c r="D829" s="72" t="s">
        <v>355</v>
      </c>
      <c r="E829" s="73">
        <v>-7950.0</v>
      </c>
    </row>
    <row r="830" ht="15.75" hidden="1" customHeight="1">
      <c r="A830" s="75">
        <v>46205.0</v>
      </c>
      <c r="B830" s="72" t="s">
        <v>150</v>
      </c>
      <c r="C830" s="72" t="s">
        <v>122</v>
      </c>
      <c r="D830" s="72" t="s">
        <v>473</v>
      </c>
      <c r="E830" s="73">
        <v>-16100.0</v>
      </c>
    </row>
    <row r="831" ht="15.75" hidden="1" customHeight="1">
      <c r="A831" s="75">
        <v>46205.0</v>
      </c>
      <c r="B831" s="72" t="s">
        <v>166</v>
      </c>
      <c r="C831" s="72" t="s">
        <v>179</v>
      </c>
      <c r="D831" s="72" t="s">
        <v>180</v>
      </c>
      <c r="E831" s="73">
        <v>20000.0</v>
      </c>
    </row>
    <row r="832" ht="15.75" hidden="1" customHeight="1">
      <c r="A832" s="75">
        <v>46205.0</v>
      </c>
      <c r="B832" s="72" t="s">
        <v>150</v>
      </c>
      <c r="C832" s="72" t="s">
        <v>118</v>
      </c>
      <c r="D832" s="72" t="s">
        <v>474</v>
      </c>
      <c r="E832" s="73">
        <v>-20000.0</v>
      </c>
    </row>
    <row r="833" ht="15.75" hidden="1" customHeight="1">
      <c r="A833" s="75">
        <v>46205.0</v>
      </c>
      <c r="B833" s="72" t="s">
        <v>166</v>
      </c>
      <c r="C833" s="72" t="s">
        <v>179</v>
      </c>
      <c r="D833" s="72" t="s">
        <v>186</v>
      </c>
      <c r="E833" s="73">
        <v>20000.0</v>
      </c>
    </row>
    <row r="834" ht="15.75" hidden="1" customHeight="1">
      <c r="A834" s="75">
        <v>46205.0</v>
      </c>
      <c r="B834" s="72" t="s">
        <v>166</v>
      </c>
      <c r="C834" s="72" t="s">
        <v>179</v>
      </c>
      <c r="D834" s="72" t="s">
        <v>186</v>
      </c>
      <c r="E834" s="73">
        <v>-20000.0</v>
      </c>
    </row>
    <row r="835" ht="15.75" hidden="1" customHeight="1">
      <c r="A835" s="75">
        <v>46205.0</v>
      </c>
      <c r="B835" s="72" t="s">
        <v>150</v>
      </c>
      <c r="C835" s="72" t="s">
        <v>124</v>
      </c>
      <c r="D835" s="72" t="s">
        <v>475</v>
      </c>
      <c r="E835" s="73">
        <v>-1600.0</v>
      </c>
    </row>
    <row r="836" ht="15.75" hidden="1" customHeight="1">
      <c r="A836" s="75">
        <v>46205.0</v>
      </c>
      <c r="B836" s="72" t="s">
        <v>150</v>
      </c>
      <c r="C836" s="72" t="s">
        <v>124</v>
      </c>
      <c r="D836" s="72" t="s">
        <v>475</v>
      </c>
      <c r="E836" s="73">
        <v>-19260.0</v>
      </c>
    </row>
    <row r="837" ht="15.75" hidden="1" customHeight="1">
      <c r="A837" s="75">
        <v>46205.0</v>
      </c>
      <c r="B837" s="72" t="s">
        <v>150</v>
      </c>
      <c r="C837" s="72" t="s">
        <v>122</v>
      </c>
      <c r="D837" s="72" t="s">
        <v>476</v>
      </c>
      <c r="E837" s="73">
        <v>-2000.0</v>
      </c>
    </row>
    <row r="838" ht="15.75" hidden="1" customHeight="1">
      <c r="A838" s="75">
        <v>46206.0</v>
      </c>
      <c r="B838" s="72" t="s">
        <v>150</v>
      </c>
      <c r="C838" s="72" t="s">
        <v>131</v>
      </c>
      <c r="D838" s="72" t="s">
        <v>223</v>
      </c>
      <c r="E838" s="73">
        <v>-18800.0</v>
      </c>
    </row>
    <row r="839" ht="15.75" hidden="1" customHeight="1">
      <c r="A839" s="75">
        <v>46206.0</v>
      </c>
      <c r="B839" s="72" t="s">
        <v>150</v>
      </c>
      <c r="C839" s="72" t="s">
        <v>122</v>
      </c>
      <c r="D839" s="72" t="s">
        <v>477</v>
      </c>
      <c r="E839" s="73">
        <v>-12920.0</v>
      </c>
    </row>
    <row r="840" ht="15.75" hidden="1" customHeight="1">
      <c r="A840" s="75">
        <v>46206.0</v>
      </c>
      <c r="B840" s="72" t="s">
        <v>153</v>
      </c>
      <c r="C840" s="72" t="s">
        <v>478</v>
      </c>
      <c r="D840" s="72" t="s">
        <v>220</v>
      </c>
      <c r="E840" s="73">
        <v>76410.0</v>
      </c>
      <c r="F840" s="76" t="s">
        <v>212</v>
      </c>
    </row>
    <row r="841" ht="15.75" hidden="1" customHeight="1">
      <c r="A841" s="75">
        <v>46207.0</v>
      </c>
      <c r="B841" s="72" t="s">
        <v>150</v>
      </c>
      <c r="C841" s="72" t="s">
        <v>119</v>
      </c>
      <c r="D841" s="72" t="s">
        <v>479</v>
      </c>
      <c r="E841" s="73">
        <v>-36900.0</v>
      </c>
    </row>
    <row r="842" ht="15.75" hidden="1" customHeight="1">
      <c r="A842" s="75">
        <v>46207.0</v>
      </c>
      <c r="B842" s="72" t="s">
        <v>150</v>
      </c>
      <c r="C842" s="72" t="s">
        <v>119</v>
      </c>
      <c r="D842" s="72" t="s">
        <v>479</v>
      </c>
      <c r="E842" s="73">
        <v>-5999.0</v>
      </c>
    </row>
    <row r="843" ht="15.75" hidden="1" customHeight="1">
      <c r="A843" s="75">
        <v>46207.0</v>
      </c>
      <c r="B843" s="72" t="s">
        <v>150</v>
      </c>
      <c r="C843" s="72" t="s">
        <v>122</v>
      </c>
      <c r="D843" s="72" t="s">
        <v>371</v>
      </c>
      <c r="E843" s="73">
        <v>-6870.0</v>
      </c>
    </row>
    <row r="844" ht="15.75" hidden="1" customHeight="1">
      <c r="A844" s="75">
        <v>46207.0</v>
      </c>
      <c r="B844" s="72" t="s">
        <v>150</v>
      </c>
      <c r="C844" s="72" t="s">
        <v>122</v>
      </c>
      <c r="D844" s="72" t="s">
        <v>239</v>
      </c>
      <c r="E844" s="73">
        <v>-6980.0</v>
      </c>
    </row>
    <row r="845" ht="15.75" hidden="1" customHeight="1">
      <c r="A845" s="75">
        <v>46207.0</v>
      </c>
      <c r="B845" s="72" t="s">
        <v>150</v>
      </c>
      <c r="C845" s="72" t="s">
        <v>122</v>
      </c>
      <c r="D845" s="72" t="s">
        <v>480</v>
      </c>
      <c r="E845" s="73">
        <v>-4000.0</v>
      </c>
    </row>
    <row r="846" ht="15.75" hidden="1" customHeight="1">
      <c r="A846" s="75">
        <v>46207.0</v>
      </c>
      <c r="B846" s="72" t="s">
        <v>150</v>
      </c>
      <c r="C846" s="72" t="s">
        <v>126</v>
      </c>
      <c r="D846" s="72" t="s">
        <v>214</v>
      </c>
      <c r="E846" s="73">
        <v>-66900.0</v>
      </c>
      <c r="F846" s="76" t="s">
        <v>208</v>
      </c>
    </row>
    <row r="847" ht="15.75" hidden="1" customHeight="1">
      <c r="A847" s="75">
        <v>46207.0</v>
      </c>
      <c r="B847" s="72" t="s">
        <v>150</v>
      </c>
      <c r="C847" s="72" t="s">
        <v>124</v>
      </c>
      <c r="D847" s="72" t="s">
        <v>481</v>
      </c>
      <c r="E847" s="73">
        <v>-29900.0</v>
      </c>
    </row>
    <row r="848" ht="15.75" hidden="1" customHeight="1">
      <c r="A848" s="75">
        <v>46208.0</v>
      </c>
      <c r="B848" s="72" t="s">
        <v>150</v>
      </c>
      <c r="C848" s="72" t="s">
        <v>131</v>
      </c>
      <c r="D848" s="72" t="s">
        <v>223</v>
      </c>
      <c r="E848" s="73">
        <v>-22999.0</v>
      </c>
    </row>
    <row r="849" ht="15.75" hidden="1" customHeight="1">
      <c r="A849" s="75">
        <v>46208.0</v>
      </c>
      <c r="B849" s="72" t="s">
        <v>150</v>
      </c>
      <c r="C849" s="72" t="s">
        <v>122</v>
      </c>
      <c r="D849" s="72" t="s">
        <v>482</v>
      </c>
      <c r="E849" s="73">
        <v>-6200.0</v>
      </c>
    </row>
    <row r="850" ht="15.75" hidden="1" customHeight="1">
      <c r="A850" s="75">
        <v>46209.0</v>
      </c>
      <c r="B850" s="72" t="s">
        <v>150</v>
      </c>
      <c r="C850" s="72" t="s">
        <v>122</v>
      </c>
      <c r="D850" s="72" t="s">
        <v>483</v>
      </c>
      <c r="E850" s="73">
        <v>-35900.0</v>
      </c>
    </row>
    <row r="851" ht="15.75" hidden="1" customHeight="1">
      <c r="A851" s="75">
        <v>46209.0</v>
      </c>
      <c r="B851" s="72" t="s">
        <v>150</v>
      </c>
      <c r="C851" s="72" t="s">
        <v>122</v>
      </c>
      <c r="D851" s="72" t="s">
        <v>151</v>
      </c>
      <c r="E851" s="73">
        <v>-21500.0</v>
      </c>
    </row>
    <row r="852" ht="15.75" hidden="1" customHeight="1">
      <c r="A852" s="75">
        <v>46209.0</v>
      </c>
      <c r="B852" s="72" t="s">
        <v>153</v>
      </c>
      <c r="C852" s="72" t="s">
        <v>9</v>
      </c>
      <c r="D852" s="72" t="s">
        <v>154</v>
      </c>
      <c r="E852" s="73">
        <v>56.0</v>
      </c>
    </row>
    <row r="853" ht="15.75" hidden="1" customHeight="1">
      <c r="A853" s="75">
        <v>46209.0</v>
      </c>
      <c r="B853" s="72" t="s">
        <v>150</v>
      </c>
      <c r="C853" s="72" t="s">
        <v>122</v>
      </c>
      <c r="D853" s="72" t="s">
        <v>252</v>
      </c>
      <c r="E853" s="73">
        <v>-11300.0</v>
      </c>
    </row>
    <row r="854" ht="15.75" hidden="1" customHeight="1">
      <c r="A854" s="75">
        <v>46209.0</v>
      </c>
      <c r="B854" s="72" t="s">
        <v>153</v>
      </c>
      <c r="C854" s="72" t="s">
        <v>210</v>
      </c>
      <c r="D854" s="72" t="s">
        <v>211</v>
      </c>
      <c r="E854" s="73">
        <v>10000.0</v>
      </c>
      <c r="F854" s="76" t="s">
        <v>212</v>
      </c>
    </row>
    <row r="855" ht="15.75" hidden="1" customHeight="1">
      <c r="A855" s="75">
        <v>46209.0</v>
      </c>
      <c r="B855" s="72" t="s">
        <v>166</v>
      </c>
      <c r="C855" s="72" t="s">
        <v>166</v>
      </c>
      <c r="D855" s="72" t="s">
        <v>192</v>
      </c>
      <c r="E855" s="73">
        <v>-170000.0</v>
      </c>
    </row>
    <row r="856" ht="15.75" hidden="1" customHeight="1">
      <c r="A856" s="75">
        <v>46209.0</v>
      </c>
      <c r="B856" s="72" t="s">
        <v>153</v>
      </c>
      <c r="C856" s="72" t="s">
        <v>210</v>
      </c>
      <c r="D856" s="72" t="s">
        <v>220</v>
      </c>
      <c r="E856" s="73">
        <v>56900.0</v>
      </c>
      <c r="F856" s="76" t="s">
        <v>212</v>
      </c>
    </row>
    <row r="857" ht="15.75" hidden="1" customHeight="1">
      <c r="A857" s="75">
        <v>46209.0</v>
      </c>
      <c r="B857" s="72" t="s">
        <v>153</v>
      </c>
      <c r="C857" s="72" t="s">
        <v>210</v>
      </c>
      <c r="D857" s="72" t="s">
        <v>220</v>
      </c>
      <c r="E857" s="73">
        <v>17690.0</v>
      </c>
      <c r="F857" s="76" t="s">
        <v>212</v>
      </c>
    </row>
    <row r="858" ht="15.75" hidden="1" customHeight="1">
      <c r="A858" s="75">
        <v>46210.0</v>
      </c>
      <c r="B858" s="72" t="s">
        <v>150</v>
      </c>
      <c r="C858" s="72" t="s">
        <v>122</v>
      </c>
      <c r="D858" s="72" t="s">
        <v>404</v>
      </c>
      <c r="E858" s="73">
        <v>-20400.0</v>
      </c>
    </row>
    <row r="859" ht="15.75" hidden="1" customHeight="1">
      <c r="A859" s="75">
        <v>46210.0</v>
      </c>
      <c r="B859" s="72" t="s">
        <v>153</v>
      </c>
      <c r="C859" s="72" t="s">
        <v>9</v>
      </c>
      <c r="D859" s="72" t="s">
        <v>484</v>
      </c>
      <c r="E859" s="73">
        <v>47330.0</v>
      </c>
    </row>
    <row r="860" ht="15.75" hidden="1" customHeight="1">
      <c r="A860" s="75">
        <v>46210.0</v>
      </c>
      <c r="B860" s="72" t="s">
        <v>166</v>
      </c>
      <c r="C860" s="72" t="s">
        <v>179</v>
      </c>
      <c r="D860" s="72" t="s">
        <v>186</v>
      </c>
      <c r="E860" s="73">
        <v>-100000.0</v>
      </c>
    </row>
    <row r="861" ht="15.75" hidden="1" customHeight="1">
      <c r="A861" s="75">
        <v>46210.0</v>
      </c>
      <c r="B861" s="72" t="s">
        <v>153</v>
      </c>
      <c r="C861" s="72" t="s">
        <v>9</v>
      </c>
      <c r="D861" s="72" t="s">
        <v>186</v>
      </c>
      <c r="E861" s="73">
        <v>112590.0</v>
      </c>
    </row>
    <row r="862" ht="15.75" hidden="1" customHeight="1">
      <c r="A862" s="75">
        <v>46211.0</v>
      </c>
      <c r="B862" s="72" t="s">
        <v>150</v>
      </c>
      <c r="C862" s="72" t="s">
        <v>122</v>
      </c>
      <c r="D862" s="72" t="s">
        <v>485</v>
      </c>
      <c r="E862" s="73">
        <v>-32790.0</v>
      </c>
    </row>
    <row r="863" ht="15.75" hidden="1" customHeight="1">
      <c r="A863" s="75">
        <v>46211.0</v>
      </c>
      <c r="B863" s="72" t="s">
        <v>153</v>
      </c>
      <c r="C863" s="72" t="s">
        <v>9</v>
      </c>
      <c r="D863" s="72" t="s">
        <v>486</v>
      </c>
      <c r="E863" s="73">
        <v>17000.0</v>
      </c>
    </row>
    <row r="864" ht="15.75" hidden="1" customHeight="1">
      <c r="A864" s="75">
        <v>46211.0</v>
      </c>
      <c r="B864" s="72" t="s">
        <v>166</v>
      </c>
      <c r="C864" s="72" t="s">
        <v>179</v>
      </c>
      <c r="D864" s="72" t="s">
        <v>186</v>
      </c>
      <c r="E864" s="73">
        <v>47330.0</v>
      </c>
    </row>
    <row r="865" ht="15.75" hidden="1" customHeight="1">
      <c r="A865" s="75">
        <v>46211.0</v>
      </c>
      <c r="B865" s="72" t="s">
        <v>166</v>
      </c>
      <c r="C865" s="72" t="s">
        <v>179</v>
      </c>
      <c r="D865" s="72" t="s">
        <v>186</v>
      </c>
      <c r="E865" s="73">
        <v>-47330.0</v>
      </c>
    </row>
    <row r="866" ht="15.75" hidden="1" customHeight="1">
      <c r="A866" s="75">
        <v>46211.0</v>
      </c>
      <c r="B866" s="72" t="s">
        <v>150</v>
      </c>
      <c r="C866" s="72" t="s">
        <v>124</v>
      </c>
      <c r="D866" s="72" t="s">
        <v>487</v>
      </c>
      <c r="E866" s="73">
        <v>-10000.0</v>
      </c>
    </row>
    <row r="867" ht="15.75" hidden="1" customHeight="1">
      <c r="A867" s="75">
        <v>46212.0</v>
      </c>
      <c r="B867" s="72" t="s">
        <v>150</v>
      </c>
      <c r="C867" s="72" t="s">
        <v>128</v>
      </c>
      <c r="D867" s="72" t="s">
        <v>488</v>
      </c>
      <c r="E867" s="73">
        <v>-24890.0</v>
      </c>
    </row>
    <row r="868" ht="15.75" hidden="1" customHeight="1">
      <c r="A868" s="75">
        <v>46212.0</v>
      </c>
      <c r="B868" s="72" t="s">
        <v>150</v>
      </c>
      <c r="C868" s="72" t="s">
        <v>119</v>
      </c>
      <c r="D868" s="72" t="s">
        <v>489</v>
      </c>
      <c r="E868" s="73">
        <v>-31365.0</v>
      </c>
    </row>
    <row r="869" ht="15.75" hidden="1" customHeight="1">
      <c r="A869" s="75">
        <v>46212.0</v>
      </c>
      <c r="B869" s="72" t="s">
        <v>150</v>
      </c>
      <c r="C869" s="72" t="s">
        <v>119</v>
      </c>
      <c r="D869" s="72" t="s">
        <v>400</v>
      </c>
      <c r="E869" s="73">
        <v>-5999.0</v>
      </c>
    </row>
    <row r="870" ht="15.75" hidden="1" customHeight="1">
      <c r="A870" s="75">
        <v>46212.0</v>
      </c>
      <c r="B870" s="72" t="s">
        <v>150</v>
      </c>
      <c r="C870" s="72" t="s">
        <v>122</v>
      </c>
      <c r="D870" s="72" t="s">
        <v>375</v>
      </c>
      <c r="E870" s="73">
        <v>-7500.0</v>
      </c>
    </row>
    <row r="871" ht="15.75" hidden="1" customHeight="1">
      <c r="A871" s="75">
        <v>46212.0</v>
      </c>
      <c r="B871" s="72" t="s">
        <v>150</v>
      </c>
      <c r="C871" s="72" t="s">
        <v>113</v>
      </c>
      <c r="D871" s="72" t="s">
        <v>209</v>
      </c>
      <c r="E871" s="73">
        <v>-170600.0</v>
      </c>
    </row>
    <row r="872" ht="15.75" hidden="1" customHeight="1">
      <c r="A872" s="75">
        <v>46213.0</v>
      </c>
      <c r="B872" s="72" t="s">
        <v>150</v>
      </c>
      <c r="C872" s="72" t="s">
        <v>124</v>
      </c>
      <c r="D872" s="72" t="s">
        <v>266</v>
      </c>
      <c r="E872" s="73">
        <v>-200000.0</v>
      </c>
    </row>
    <row r="873" ht="15.75" hidden="1" customHeight="1">
      <c r="A873" s="75">
        <v>46213.0</v>
      </c>
      <c r="B873" s="72" t="s">
        <v>166</v>
      </c>
      <c r="C873" s="72" t="s">
        <v>179</v>
      </c>
      <c r="D873" s="72" t="s">
        <v>186</v>
      </c>
      <c r="E873" s="73">
        <v>200000.0</v>
      </c>
    </row>
    <row r="874" ht="15.75" hidden="1" customHeight="1">
      <c r="A874" s="75">
        <v>46213.0</v>
      </c>
      <c r="B874" s="72" t="s">
        <v>150</v>
      </c>
      <c r="C874" s="72" t="s">
        <v>122</v>
      </c>
      <c r="D874" s="72" t="s">
        <v>369</v>
      </c>
      <c r="E874" s="73">
        <v>-6000.0</v>
      </c>
    </row>
    <row r="875" ht="15.75" hidden="1" customHeight="1">
      <c r="A875" s="75">
        <v>46213.0</v>
      </c>
      <c r="B875" s="72" t="s">
        <v>150</v>
      </c>
      <c r="C875" s="72" t="s">
        <v>126</v>
      </c>
      <c r="D875" s="72" t="s">
        <v>213</v>
      </c>
      <c r="E875" s="73">
        <v>-2800.0</v>
      </c>
    </row>
    <row r="876" ht="15.75" hidden="1" customHeight="1">
      <c r="A876" s="75">
        <v>46213.0</v>
      </c>
      <c r="B876" s="72" t="s">
        <v>150</v>
      </c>
      <c r="C876" s="72" t="s">
        <v>126</v>
      </c>
      <c r="D876" s="72" t="s">
        <v>214</v>
      </c>
      <c r="E876" s="73">
        <v>-4100.0</v>
      </c>
    </row>
    <row r="877" ht="15.75" hidden="1" customHeight="1">
      <c r="A877" s="75">
        <v>46213.0</v>
      </c>
      <c r="B877" s="72" t="s">
        <v>153</v>
      </c>
      <c r="C877" s="72" t="s">
        <v>9</v>
      </c>
      <c r="D877" s="72" t="s">
        <v>233</v>
      </c>
      <c r="E877" s="73">
        <v>393.0</v>
      </c>
    </row>
    <row r="878" ht="15.75" hidden="1" customHeight="1">
      <c r="A878" s="75">
        <v>46213.0</v>
      </c>
      <c r="B878" s="72" t="s">
        <v>150</v>
      </c>
      <c r="C878" s="72" t="s">
        <v>117</v>
      </c>
      <c r="D878" s="72" t="s">
        <v>232</v>
      </c>
      <c r="E878" s="73">
        <v>-26900.0</v>
      </c>
    </row>
    <row r="879" ht="15.75" hidden="1" customHeight="1">
      <c r="A879" s="75">
        <v>46213.0</v>
      </c>
      <c r="B879" s="72" t="s">
        <v>150</v>
      </c>
      <c r="C879" s="72" t="s">
        <v>122</v>
      </c>
      <c r="D879" s="72" t="s">
        <v>490</v>
      </c>
      <c r="E879" s="73">
        <v>-11200.0</v>
      </c>
    </row>
    <row r="880" ht="15.75" hidden="1" customHeight="1">
      <c r="A880" s="75">
        <v>46213.0</v>
      </c>
      <c r="B880" s="72" t="s">
        <v>150</v>
      </c>
      <c r="C880" s="72" t="s">
        <v>119</v>
      </c>
      <c r="D880" s="72" t="s">
        <v>491</v>
      </c>
      <c r="E880" s="73">
        <v>-12600.0</v>
      </c>
    </row>
    <row r="881" ht="15.75" hidden="1" customHeight="1">
      <c r="A881" s="75">
        <v>46213.0</v>
      </c>
      <c r="B881" s="72" t="s">
        <v>150</v>
      </c>
      <c r="C881" s="72" t="s">
        <v>119</v>
      </c>
      <c r="D881" s="72" t="s">
        <v>492</v>
      </c>
      <c r="E881" s="73">
        <v>-3000.0</v>
      </c>
    </row>
    <row r="882" ht="15.75" hidden="1" customHeight="1">
      <c r="A882" s="75">
        <v>46213.0</v>
      </c>
      <c r="B882" s="72" t="s">
        <v>150</v>
      </c>
      <c r="C882" s="72" t="s">
        <v>119</v>
      </c>
      <c r="D882" s="72" t="s">
        <v>493</v>
      </c>
      <c r="E882" s="73">
        <v>-18000.0</v>
      </c>
    </row>
    <row r="883" ht="15.75" hidden="1" customHeight="1">
      <c r="A883" s="75">
        <v>46213.0</v>
      </c>
      <c r="B883" s="72" t="s">
        <v>150</v>
      </c>
      <c r="C883" s="72" t="s">
        <v>124</v>
      </c>
      <c r="D883" s="72" t="s">
        <v>494</v>
      </c>
      <c r="E883" s="73">
        <v>-150000.0</v>
      </c>
    </row>
    <row r="884" ht="15.75" hidden="1" customHeight="1">
      <c r="A884" s="75">
        <v>46214.0</v>
      </c>
      <c r="B884" s="72" t="s">
        <v>150</v>
      </c>
      <c r="C884" s="72" t="s">
        <v>122</v>
      </c>
      <c r="D884" s="72" t="s">
        <v>495</v>
      </c>
      <c r="E884" s="73">
        <v>-16999.0</v>
      </c>
    </row>
    <row r="885" ht="15.75" hidden="1" customHeight="1">
      <c r="A885" s="75">
        <v>46214.0</v>
      </c>
      <c r="B885" s="72" t="s">
        <v>150</v>
      </c>
      <c r="C885" s="72" t="s">
        <v>122</v>
      </c>
      <c r="D885" s="72" t="s">
        <v>223</v>
      </c>
      <c r="E885" s="73">
        <v>-48000.0</v>
      </c>
    </row>
    <row r="886" ht="15.75" hidden="1" customHeight="1">
      <c r="A886" s="75">
        <v>46214.0</v>
      </c>
      <c r="B886" s="72" t="s">
        <v>150</v>
      </c>
      <c r="C886" s="72" t="s">
        <v>122</v>
      </c>
      <c r="D886" s="72" t="s">
        <v>334</v>
      </c>
      <c r="E886" s="73">
        <v>-39000.0</v>
      </c>
    </row>
    <row r="887" ht="15.75" hidden="1" customHeight="1">
      <c r="A887" s="75">
        <v>46215.0</v>
      </c>
      <c r="B887" s="72" t="s">
        <v>150</v>
      </c>
      <c r="C887" s="72" t="s">
        <v>122</v>
      </c>
      <c r="D887" s="72" t="s">
        <v>389</v>
      </c>
      <c r="E887" s="73">
        <v>-3300.0</v>
      </c>
    </row>
    <row r="888" ht="15.75" hidden="1" customHeight="1">
      <c r="A888" s="75">
        <v>46215.0</v>
      </c>
      <c r="B888" s="72" t="s">
        <v>150</v>
      </c>
      <c r="C888" s="72" t="s">
        <v>122</v>
      </c>
      <c r="D888" s="72" t="s">
        <v>168</v>
      </c>
      <c r="E888" s="73">
        <v>-10000.0</v>
      </c>
    </row>
    <row r="889" ht="15.75" hidden="1" customHeight="1">
      <c r="A889" s="75">
        <v>46215.0</v>
      </c>
      <c r="B889" s="72" t="s">
        <v>150</v>
      </c>
      <c r="C889" s="72" t="s">
        <v>122</v>
      </c>
      <c r="D889" s="72" t="s">
        <v>496</v>
      </c>
      <c r="E889" s="73">
        <v>-3500.0</v>
      </c>
    </row>
    <row r="890" ht="15.75" hidden="1" customHeight="1">
      <c r="A890" s="75">
        <v>46215.0</v>
      </c>
      <c r="B890" s="72" t="s">
        <v>153</v>
      </c>
      <c r="C890" s="72" t="s">
        <v>9</v>
      </c>
      <c r="D890" s="72" t="s">
        <v>497</v>
      </c>
      <c r="E890" s="73">
        <v>30.0</v>
      </c>
    </row>
    <row r="891" ht="15.75" hidden="1" customHeight="1">
      <c r="A891" s="75">
        <v>46215.0</v>
      </c>
      <c r="B891" s="72" t="s">
        <v>150</v>
      </c>
      <c r="C891" s="72" t="s">
        <v>122</v>
      </c>
      <c r="D891" s="72" t="s">
        <v>498</v>
      </c>
      <c r="E891" s="73">
        <v>-6000.0</v>
      </c>
    </row>
    <row r="892" ht="15.75" hidden="1" customHeight="1">
      <c r="A892" s="75">
        <v>46215.0</v>
      </c>
      <c r="B892" s="72" t="s">
        <v>150</v>
      </c>
      <c r="C892" s="72" t="s">
        <v>122</v>
      </c>
      <c r="D892" s="72" t="s">
        <v>499</v>
      </c>
      <c r="E892" s="73">
        <v>-30060.0</v>
      </c>
    </row>
    <row r="893" ht="15.75" hidden="1" customHeight="1">
      <c r="A893" s="75">
        <v>46215.0</v>
      </c>
      <c r="B893" s="72" t="s">
        <v>150</v>
      </c>
      <c r="C893" s="72" t="s">
        <v>117</v>
      </c>
      <c r="D893" s="72" t="s">
        <v>151</v>
      </c>
      <c r="E893" s="73">
        <v>-7890.0</v>
      </c>
    </row>
    <row r="894" ht="15.75" hidden="1" customHeight="1">
      <c r="A894" s="75">
        <v>46215.0</v>
      </c>
      <c r="B894" s="72" t="s">
        <v>153</v>
      </c>
      <c r="C894" s="72" t="s">
        <v>9</v>
      </c>
      <c r="D894" s="72" t="s">
        <v>500</v>
      </c>
      <c r="E894" s="73">
        <v>13000.0</v>
      </c>
    </row>
    <row r="895" ht="15.75" hidden="1" customHeight="1">
      <c r="A895" s="75">
        <v>46215.0</v>
      </c>
      <c r="B895" s="72" t="s">
        <v>166</v>
      </c>
      <c r="C895" s="72" t="s">
        <v>179</v>
      </c>
      <c r="D895" s="72" t="s">
        <v>248</v>
      </c>
      <c r="E895" s="73">
        <v>51317.0</v>
      </c>
    </row>
    <row r="896" ht="15.75" hidden="1" customHeight="1">
      <c r="A896" s="75">
        <v>46215.0</v>
      </c>
      <c r="B896" s="72" t="s">
        <v>166</v>
      </c>
      <c r="C896" s="72" t="s">
        <v>179</v>
      </c>
      <c r="D896" s="72" t="s">
        <v>501</v>
      </c>
      <c r="E896" s="73">
        <v>-51317.0</v>
      </c>
    </row>
    <row r="897" ht="15.75" hidden="1" customHeight="1">
      <c r="A897" s="75">
        <v>46215.0</v>
      </c>
      <c r="B897" s="72" t="s">
        <v>166</v>
      </c>
      <c r="C897" s="72" t="s">
        <v>166</v>
      </c>
      <c r="D897" s="72" t="s">
        <v>502</v>
      </c>
      <c r="E897" s="73">
        <v>-13000.0</v>
      </c>
    </row>
    <row r="898" ht="15.75" hidden="1" customHeight="1">
      <c r="A898" s="75">
        <v>46215.0</v>
      </c>
      <c r="B898" s="72" t="s">
        <v>166</v>
      </c>
      <c r="C898" s="72" t="s">
        <v>166</v>
      </c>
      <c r="D898" s="72" t="s">
        <v>503</v>
      </c>
      <c r="E898" s="73">
        <v>13000.0</v>
      </c>
    </row>
    <row r="899" ht="15.75" hidden="1" customHeight="1">
      <c r="A899" s="75">
        <v>46215.0</v>
      </c>
      <c r="B899" s="72" t="s">
        <v>153</v>
      </c>
      <c r="C899" s="72" t="s">
        <v>9</v>
      </c>
      <c r="D899" s="72" t="s">
        <v>503</v>
      </c>
      <c r="E899" s="73">
        <v>13000.0</v>
      </c>
    </row>
    <row r="900" ht="15.75" hidden="1" customHeight="1">
      <c r="A900" s="75">
        <v>46215.0</v>
      </c>
      <c r="B900" s="72" t="s">
        <v>166</v>
      </c>
      <c r="C900" s="72" t="s">
        <v>428</v>
      </c>
      <c r="D900" s="72" t="s">
        <v>504</v>
      </c>
      <c r="E900" s="73">
        <v>1.0</v>
      </c>
    </row>
    <row r="901" ht="15.75" hidden="1" customHeight="1">
      <c r="A901" s="75">
        <v>46215.0</v>
      </c>
      <c r="B901" s="72" t="s">
        <v>166</v>
      </c>
      <c r="C901" s="72" t="s">
        <v>428</v>
      </c>
      <c r="D901" s="72" t="s">
        <v>505</v>
      </c>
      <c r="E901" s="73">
        <v>1.0</v>
      </c>
    </row>
    <row r="902" ht="15.75" hidden="1" customHeight="1">
      <c r="A902" s="75">
        <v>46216.0</v>
      </c>
      <c r="B902" s="72" t="s">
        <v>166</v>
      </c>
      <c r="C902" s="72" t="s">
        <v>243</v>
      </c>
      <c r="D902" s="72" t="s">
        <v>244</v>
      </c>
      <c r="E902" s="73">
        <v>-515794.0</v>
      </c>
    </row>
    <row r="903" ht="15.75" hidden="1" customHeight="1">
      <c r="A903" s="75">
        <v>46216.0</v>
      </c>
      <c r="B903" s="72" t="s">
        <v>150</v>
      </c>
      <c r="C903" s="72" t="s">
        <v>122</v>
      </c>
      <c r="D903" s="72" t="s">
        <v>333</v>
      </c>
      <c r="E903" s="73">
        <v>-22790.0</v>
      </c>
    </row>
    <row r="904" ht="15.75" hidden="1" customHeight="1">
      <c r="A904" s="75">
        <v>46216.0</v>
      </c>
      <c r="B904" s="72" t="s">
        <v>150</v>
      </c>
      <c r="C904" s="72" t="s">
        <v>126</v>
      </c>
      <c r="D904" s="72" t="s">
        <v>506</v>
      </c>
      <c r="E904" s="73">
        <v>-20000.0</v>
      </c>
    </row>
    <row r="905" ht="15.75" hidden="1" customHeight="1">
      <c r="A905" s="75">
        <v>46216.0</v>
      </c>
      <c r="B905" s="72" t="s">
        <v>166</v>
      </c>
      <c r="C905" s="72" t="s">
        <v>161</v>
      </c>
      <c r="D905" s="72" t="s">
        <v>186</v>
      </c>
      <c r="E905" s="73">
        <v>520000.0</v>
      </c>
    </row>
    <row r="906" ht="15.75" customHeight="1">
      <c r="A906" s="75">
        <v>46216.0</v>
      </c>
      <c r="B906" s="72" t="s">
        <v>150</v>
      </c>
      <c r="C906" s="72" t="s">
        <v>114</v>
      </c>
      <c r="D906" s="72" t="s">
        <v>235</v>
      </c>
      <c r="E906" s="73">
        <v>-35200.0</v>
      </c>
    </row>
    <row r="907" ht="15.75" customHeight="1">
      <c r="A907" s="75">
        <v>46216.0</v>
      </c>
      <c r="B907" s="72" t="s">
        <v>150</v>
      </c>
      <c r="C907" s="72" t="s">
        <v>114</v>
      </c>
      <c r="D907" s="72" t="s">
        <v>235</v>
      </c>
      <c r="E907" s="73">
        <v>-47880.0</v>
      </c>
    </row>
    <row r="908" ht="15.75" hidden="1" customHeight="1">
      <c r="A908" s="75">
        <v>46216.0</v>
      </c>
      <c r="B908" s="72" t="s">
        <v>150</v>
      </c>
      <c r="C908" s="72" t="s">
        <v>122</v>
      </c>
      <c r="D908" s="72" t="s">
        <v>369</v>
      </c>
      <c r="E908" s="73">
        <v>-4000.0</v>
      </c>
    </row>
    <row r="909" ht="15.75" hidden="1" customHeight="1">
      <c r="A909" s="75">
        <v>46216.0</v>
      </c>
      <c r="B909" s="72" t="s">
        <v>166</v>
      </c>
      <c r="C909" s="72" t="s">
        <v>166</v>
      </c>
      <c r="D909" s="72" t="s">
        <v>186</v>
      </c>
      <c r="E909" s="73">
        <v>-407492.0</v>
      </c>
    </row>
    <row r="910" ht="15.75" hidden="1" customHeight="1">
      <c r="A910" s="75">
        <v>46216.0</v>
      </c>
      <c r="B910" s="72" t="s">
        <v>153</v>
      </c>
      <c r="C910" s="72" t="s">
        <v>9</v>
      </c>
      <c r="D910" s="72" t="s">
        <v>180</v>
      </c>
      <c r="E910" s="73">
        <v>407490.0</v>
      </c>
    </row>
    <row r="911" ht="15.75" hidden="1" customHeight="1">
      <c r="A911" s="75">
        <v>46216.0</v>
      </c>
      <c r="B911" s="72" t="s">
        <v>150</v>
      </c>
      <c r="C911" s="72" t="s">
        <v>118</v>
      </c>
      <c r="D911" s="72" t="s">
        <v>507</v>
      </c>
      <c r="E911" s="73">
        <v>-90000.0</v>
      </c>
    </row>
    <row r="912" ht="15.75" hidden="1" customHeight="1">
      <c r="A912" s="75">
        <v>46216.0</v>
      </c>
      <c r="B912" s="72" t="s">
        <v>150</v>
      </c>
      <c r="C912" s="72" t="s">
        <v>128</v>
      </c>
      <c r="D912" s="72" t="s">
        <v>508</v>
      </c>
      <c r="E912" s="73">
        <v>-1000.0</v>
      </c>
    </row>
    <row r="913" ht="15.75" hidden="1" customHeight="1">
      <c r="A913" s="75">
        <v>46217.0</v>
      </c>
      <c r="B913" s="72" t="s">
        <v>150</v>
      </c>
      <c r="C913" s="72" t="s">
        <v>122</v>
      </c>
      <c r="D913" s="72" t="s">
        <v>252</v>
      </c>
      <c r="E913" s="73">
        <v>-3300.0</v>
      </c>
    </row>
    <row r="914" ht="15.75" hidden="1" customHeight="1">
      <c r="A914" s="75">
        <v>46217.0</v>
      </c>
      <c r="B914" s="72" t="s">
        <v>150</v>
      </c>
      <c r="C914" s="72" t="s">
        <v>122</v>
      </c>
      <c r="D914" s="72" t="s">
        <v>334</v>
      </c>
      <c r="E914" s="73">
        <v>-15000.0</v>
      </c>
    </row>
    <row r="915" ht="15.75" hidden="1" customHeight="1">
      <c r="A915" s="75">
        <v>46217.0</v>
      </c>
      <c r="B915" s="72" t="s">
        <v>150</v>
      </c>
      <c r="C915" s="72" t="s">
        <v>122</v>
      </c>
      <c r="D915" s="72" t="s">
        <v>483</v>
      </c>
      <c r="E915" s="73">
        <v>-9999.0</v>
      </c>
    </row>
    <row r="916" ht="15.75" hidden="1" customHeight="1">
      <c r="A916" s="75">
        <v>46217.0</v>
      </c>
      <c r="B916" s="72" t="s">
        <v>150</v>
      </c>
      <c r="C916" s="72" t="s">
        <v>117</v>
      </c>
      <c r="D916" s="72" t="s">
        <v>251</v>
      </c>
      <c r="E916" s="73">
        <v>-29000.0</v>
      </c>
    </row>
    <row r="917" ht="15.75" hidden="1" customHeight="1">
      <c r="A917" s="75">
        <v>46217.0</v>
      </c>
      <c r="B917" s="72" t="s">
        <v>150</v>
      </c>
      <c r="C917" s="72" t="s">
        <v>122</v>
      </c>
      <c r="D917" s="72" t="s">
        <v>252</v>
      </c>
      <c r="E917" s="73">
        <v>-5000.0</v>
      </c>
    </row>
    <row r="918" ht="15.75" hidden="1" customHeight="1">
      <c r="A918" s="75">
        <v>46217.0</v>
      </c>
      <c r="B918" s="72" t="s">
        <v>150</v>
      </c>
      <c r="C918" s="72" t="s">
        <v>124</v>
      </c>
      <c r="D918" s="72" t="s">
        <v>509</v>
      </c>
      <c r="E918" s="73">
        <v>-4500.0</v>
      </c>
    </row>
    <row r="919" ht="15.75" hidden="1" customHeight="1">
      <c r="A919" s="75">
        <v>46217.0</v>
      </c>
      <c r="B919" s="72" t="s">
        <v>150</v>
      </c>
      <c r="C919" s="72" t="s">
        <v>122</v>
      </c>
      <c r="D919" s="72" t="s">
        <v>510</v>
      </c>
      <c r="E919" s="73">
        <v>-11700.0</v>
      </c>
    </row>
    <row r="920" ht="15.75" hidden="1" customHeight="1">
      <c r="A920" s="75">
        <v>46217.0</v>
      </c>
      <c r="B920" s="72" t="s">
        <v>150</v>
      </c>
      <c r="C920" s="72" t="s">
        <v>131</v>
      </c>
      <c r="D920" s="72" t="s">
        <v>470</v>
      </c>
      <c r="E920" s="73">
        <v>-3200.0</v>
      </c>
    </row>
    <row r="921" ht="15.75" hidden="1" customHeight="1">
      <c r="A921" s="75">
        <v>46217.0</v>
      </c>
      <c r="B921" s="72" t="s">
        <v>150</v>
      </c>
      <c r="C921" s="72" t="s">
        <v>126</v>
      </c>
      <c r="D921" s="72" t="s">
        <v>511</v>
      </c>
      <c r="E921" s="73">
        <v>-1900.0</v>
      </c>
    </row>
    <row r="922" ht="15.75" hidden="1" customHeight="1">
      <c r="A922" s="75">
        <v>46217.0</v>
      </c>
      <c r="B922" s="72" t="s">
        <v>150</v>
      </c>
      <c r="C922" s="72" t="s">
        <v>126</v>
      </c>
      <c r="D922" s="72" t="s">
        <v>512</v>
      </c>
      <c r="E922" s="73">
        <v>-1000.0</v>
      </c>
    </row>
    <row r="923" ht="15.75" hidden="1" customHeight="1">
      <c r="A923" s="75">
        <v>46218.0</v>
      </c>
      <c r="B923" s="72" t="s">
        <v>150</v>
      </c>
      <c r="C923" s="72" t="s">
        <v>122</v>
      </c>
      <c r="D923" s="72" t="s">
        <v>513</v>
      </c>
      <c r="E923" s="73">
        <v>-7800.0</v>
      </c>
    </row>
    <row r="924" ht="15.75" hidden="1" customHeight="1">
      <c r="A924" s="75">
        <v>46218.0</v>
      </c>
      <c r="B924" s="72" t="s">
        <v>150</v>
      </c>
      <c r="C924" s="72" t="s">
        <v>116</v>
      </c>
      <c r="D924" s="72" t="s">
        <v>267</v>
      </c>
      <c r="E924" s="73">
        <v>-21800.0</v>
      </c>
    </row>
    <row r="925" ht="15.75" hidden="1" customHeight="1">
      <c r="A925" s="75">
        <v>46218.0</v>
      </c>
      <c r="B925" s="72" t="s">
        <v>150</v>
      </c>
      <c r="C925" s="72" t="s">
        <v>116</v>
      </c>
      <c r="D925" s="72" t="s">
        <v>267</v>
      </c>
      <c r="E925" s="73">
        <v>-1370.0</v>
      </c>
    </row>
    <row r="926" ht="15.75" hidden="1" customHeight="1">
      <c r="A926" s="75">
        <v>46218.0</v>
      </c>
      <c r="B926" s="72" t="s">
        <v>150</v>
      </c>
      <c r="C926" s="72" t="s">
        <v>118</v>
      </c>
      <c r="D926" s="72" t="s">
        <v>514</v>
      </c>
      <c r="E926" s="73">
        <v>-2000.0</v>
      </c>
    </row>
    <row r="927" ht="15.75" hidden="1" customHeight="1">
      <c r="A927" s="75">
        <v>46218.0</v>
      </c>
      <c r="B927" s="72" t="s">
        <v>150</v>
      </c>
      <c r="C927" s="72" t="s">
        <v>119</v>
      </c>
      <c r="D927" s="72" t="s">
        <v>393</v>
      </c>
      <c r="E927" s="73">
        <v>-10950.0</v>
      </c>
    </row>
    <row r="928" ht="15.75" hidden="1" customHeight="1">
      <c r="A928" s="75">
        <v>46218.0</v>
      </c>
      <c r="B928" s="72" t="s">
        <v>150</v>
      </c>
      <c r="C928" s="72" t="s">
        <v>126</v>
      </c>
      <c r="D928" s="72" t="s">
        <v>214</v>
      </c>
      <c r="E928" s="73">
        <v>-3500.0</v>
      </c>
    </row>
    <row r="929" ht="15.75" hidden="1" customHeight="1">
      <c r="A929" s="75">
        <v>46218.0</v>
      </c>
      <c r="B929" s="72" t="s">
        <v>166</v>
      </c>
      <c r="C929" s="72" t="s">
        <v>166</v>
      </c>
      <c r="D929" s="72" t="s">
        <v>515</v>
      </c>
      <c r="E929" s="73">
        <v>-192774.0</v>
      </c>
    </row>
    <row r="930" ht="15.75" hidden="1" customHeight="1">
      <c r="A930" s="75">
        <v>46218.0</v>
      </c>
      <c r="B930" s="72" t="s">
        <v>166</v>
      </c>
      <c r="C930" s="72" t="s">
        <v>179</v>
      </c>
      <c r="D930" s="72" t="s">
        <v>186</v>
      </c>
      <c r="E930" s="73">
        <v>200000.0</v>
      </c>
    </row>
    <row r="931" ht="15.75" hidden="1" customHeight="1">
      <c r="A931" s="75">
        <v>46218.0</v>
      </c>
      <c r="B931" s="72" t="s">
        <v>150</v>
      </c>
      <c r="C931" s="72" t="s">
        <v>136</v>
      </c>
      <c r="D931" s="72" t="s">
        <v>516</v>
      </c>
      <c r="E931" s="73">
        <v>-193680.0</v>
      </c>
    </row>
    <row r="932" ht="15.75" hidden="1" customHeight="1">
      <c r="A932" s="75">
        <v>46218.0</v>
      </c>
      <c r="B932" s="72" t="s">
        <v>150</v>
      </c>
      <c r="C932" s="72" t="s">
        <v>119</v>
      </c>
      <c r="D932" s="72" t="s">
        <v>355</v>
      </c>
      <c r="E932" s="73">
        <v>-7950.0</v>
      </c>
    </row>
    <row r="933" ht="15.75" hidden="1" customHeight="1">
      <c r="A933" s="75">
        <v>46218.0</v>
      </c>
      <c r="B933" s="72" t="s">
        <v>150</v>
      </c>
      <c r="C933" s="72" t="s">
        <v>119</v>
      </c>
      <c r="D933" s="72" t="s">
        <v>355</v>
      </c>
      <c r="E933" s="73">
        <v>-3000.0</v>
      </c>
    </row>
    <row r="934" ht="15.75" hidden="1" customHeight="1">
      <c r="A934" s="75">
        <v>46218.0</v>
      </c>
      <c r="B934" s="72" t="s">
        <v>150</v>
      </c>
      <c r="C934" s="72" t="s">
        <v>126</v>
      </c>
      <c r="D934" s="72" t="s">
        <v>213</v>
      </c>
      <c r="E934" s="73">
        <v>-4200.0</v>
      </c>
    </row>
    <row r="935" ht="15.75" hidden="1" customHeight="1">
      <c r="A935" s="75">
        <v>46218.0</v>
      </c>
      <c r="B935" s="72" t="s">
        <v>150</v>
      </c>
      <c r="C935" s="72" t="s">
        <v>131</v>
      </c>
      <c r="D935" s="72" t="s">
        <v>377</v>
      </c>
      <c r="E935" s="73">
        <v>-3600.0</v>
      </c>
    </row>
    <row r="936" ht="15.75" hidden="1" customHeight="1">
      <c r="A936" s="75">
        <v>46218.0</v>
      </c>
      <c r="B936" s="72" t="s">
        <v>150</v>
      </c>
      <c r="C936" s="72" t="s">
        <v>131</v>
      </c>
      <c r="D936" s="72" t="s">
        <v>377</v>
      </c>
      <c r="E936" s="73">
        <v>-3600.0</v>
      </c>
    </row>
    <row r="937" ht="15.75" hidden="1" customHeight="1">
      <c r="A937" s="75">
        <v>46219.0</v>
      </c>
      <c r="B937" s="72" t="s">
        <v>150</v>
      </c>
      <c r="C937" s="72" t="s">
        <v>122</v>
      </c>
      <c r="D937" s="72" t="s">
        <v>517</v>
      </c>
      <c r="E937" s="73">
        <v>-24999.0</v>
      </c>
    </row>
    <row r="938" ht="15.75" hidden="1" customHeight="1">
      <c r="A938" s="75">
        <v>46219.0</v>
      </c>
      <c r="B938" s="72" t="s">
        <v>150</v>
      </c>
      <c r="C938" s="72" t="s">
        <v>122</v>
      </c>
      <c r="D938" s="72" t="s">
        <v>518</v>
      </c>
      <c r="E938" s="73">
        <v>-65900.0</v>
      </c>
    </row>
    <row r="939" ht="15.75" hidden="1" customHeight="1">
      <c r="A939" s="75">
        <v>46219.0</v>
      </c>
      <c r="B939" s="72" t="s">
        <v>150</v>
      </c>
      <c r="C939" s="72" t="s">
        <v>122</v>
      </c>
      <c r="D939" s="72" t="s">
        <v>394</v>
      </c>
      <c r="E939" s="73">
        <v>-11000.0</v>
      </c>
    </row>
    <row r="940" ht="15.75" hidden="1" customHeight="1">
      <c r="A940" s="75">
        <v>46219.0</v>
      </c>
      <c r="B940" s="72" t="s">
        <v>166</v>
      </c>
      <c r="C940" s="72" t="s">
        <v>166</v>
      </c>
      <c r="D940" s="72" t="s">
        <v>192</v>
      </c>
      <c r="E940" s="73">
        <v>-2200000.0</v>
      </c>
    </row>
    <row r="941" ht="15.75" hidden="1" customHeight="1">
      <c r="A941" s="75">
        <v>46219.0</v>
      </c>
      <c r="B941" s="72" t="s">
        <v>150</v>
      </c>
      <c r="C941" s="72" t="s">
        <v>124</v>
      </c>
      <c r="D941" s="72" t="s">
        <v>519</v>
      </c>
      <c r="E941" s="73">
        <v>-4934.0</v>
      </c>
    </row>
    <row r="942" ht="15.75" hidden="1" customHeight="1">
      <c r="A942" s="75">
        <v>46219.0</v>
      </c>
      <c r="B942" s="72" t="s">
        <v>150</v>
      </c>
      <c r="C942" s="72" t="s">
        <v>124</v>
      </c>
      <c r="D942" s="72" t="s">
        <v>519</v>
      </c>
      <c r="E942" s="73">
        <v>-7066.0</v>
      </c>
    </row>
    <row r="943" ht="15.75" hidden="1" customHeight="1">
      <c r="A943" s="75">
        <v>46219.0</v>
      </c>
      <c r="B943" s="72" t="s">
        <v>150</v>
      </c>
      <c r="C943" s="72" t="s">
        <v>122</v>
      </c>
      <c r="D943" s="72" t="s">
        <v>520</v>
      </c>
      <c r="E943" s="73">
        <v>-24200.0</v>
      </c>
    </row>
    <row r="944" ht="15.75" hidden="1" customHeight="1">
      <c r="A944" s="75">
        <v>46219.0</v>
      </c>
      <c r="B944" s="72" t="s">
        <v>153</v>
      </c>
      <c r="C944" s="72" t="s">
        <v>6</v>
      </c>
      <c r="D944" s="72" t="s">
        <v>521</v>
      </c>
      <c r="E944" s="73">
        <v>2200000.0</v>
      </c>
    </row>
    <row r="945" ht="15.75" hidden="1" customHeight="1">
      <c r="A945" s="75">
        <v>46220.0</v>
      </c>
      <c r="B945" s="72" t="s">
        <v>150</v>
      </c>
      <c r="C945" s="72" t="s">
        <v>122</v>
      </c>
      <c r="D945" s="72" t="s">
        <v>239</v>
      </c>
      <c r="E945" s="73">
        <v>-5980.0</v>
      </c>
    </row>
    <row r="946" ht="15.75" hidden="1" customHeight="1">
      <c r="A946" s="75">
        <v>46221.0</v>
      </c>
      <c r="B946" s="72" t="s">
        <v>150</v>
      </c>
      <c r="C946" s="72" t="s">
        <v>129</v>
      </c>
      <c r="D946" s="72" t="s">
        <v>522</v>
      </c>
      <c r="E946" s="73">
        <v>-30999.0</v>
      </c>
    </row>
    <row r="947" ht="15.75" hidden="1" customHeight="1">
      <c r="A947" s="75">
        <v>46221.0</v>
      </c>
      <c r="B947" s="72" t="s">
        <v>150</v>
      </c>
      <c r="C947" s="72" t="s">
        <v>122</v>
      </c>
      <c r="D947" s="72" t="s">
        <v>523</v>
      </c>
      <c r="E947" s="73">
        <v>-36900.0</v>
      </c>
    </row>
    <row r="948" ht="15.75" hidden="1" customHeight="1">
      <c r="A948" s="75">
        <v>46221.0</v>
      </c>
      <c r="B948" s="72" t="s">
        <v>150</v>
      </c>
      <c r="C948" s="72" t="s">
        <v>124</v>
      </c>
      <c r="D948" s="72" t="s">
        <v>524</v>
      </c>
      <c r="E948" s="73">
        <v>-40000.0</v>
      </c>
    </row>
    <row r="949" ht="15.75" hidden="1" customHeight="1">
      <c r="A949" s="75">
        <v>46221.0</v>
      </c>
      <c r="B949" s="72" t="s">
        <v>166</v>
      </c>
      <c r="C949" s="72" t="s">
        <v>179</v>
      </c>
      <c r="D949" s="72" t="s">
        <v>186</v>
      </c>
      <c r="E949" s="73">
        <v>100000.0</v>
      </c>
    </row>
    <row r="950" ht="15.75" hidden="1" customHeight="1">
      <c r="A950" s="75">
        <v>46221.0</v>
      </c>
      <c r="B950" s="72" t="s">
        <v>150</v>
      </c>
      <c r="C950" s="72" t="s">
        <v>126</v>
      </c>
      <c r="D950" s="72" t="s">
        <v>525</v>
      </c>
      <c r="E950" s="73">
        <v>-69100.0</v>
      </c>
      <c r="F950" s="76" t="s">
        <v>208</v>
      </c>
    </row>
    <row r="951" ht="15.75" hidden="1" customHeight="1">
      <c r="A951" s="75">
        <v>46221.0</v>
      </c>
      <c r="B951" s="72" t="s">
        <v>150</v>
      </c>
      <c r="C951" s="72" t="s">
        <v>126</v>
      </c>
      <c r="D951" s="72" t="s">
        <v>213</v>
      </c>
      <c r="E951" s="73">
        <v>-9500.0</v>
      </c>
    </row>
    <row r="952" ht="15.75" hidden="1" customHeight="1">
      <c r="A952" s="75">
        <v>46221.0</v>
      </c>
      <c r="B952" s="72" t="s">
        <v>150</v>
      </c>
      <c r="C952" s="72" t="s">
        <v>119</v>
      </c>
      <c r="D952" s="72" t="s">
        <v>526</v>
      </c>
      <c r="E952" s="73">
        <v>-300.0</v>
      </c>
    </row>
    <row r="953" ht="15.75" hidden="1" customHeight="1">
      <c r="A953" s="75">
        <v>46222.0</v>
      </c>
      <c r="B953" s="72" t="s">
        <v>150</v>
      </c>
      <c r="C953" s="72" t="s">
        <v>122</v>
      </c>
      <c r="D953" s="72" t="s">
        <v>369</v>
      </c>
      <c r="E953" s="73">
        <v>-6000.0</v>
      </c>
    </row>
    <row r="954" ht="15.75" hidden="1" customHeight="1">
      <c r="A954" s="75">
        <v>46222.0</v>
      </c>
      <c r="B954" s="72" t="s">
        <v>150</v>
      </c>
      <c r="C954" s="72" t="s">
        <v>122</v>
      </c>
      <c r="D954" s="72" t="s">
        <v>252</v>
      </c>
      <c r="E954" s="73">
        <v>-4800.0</v>
      </c>
    </row>
    <row r="955" ht="15.75" hidden="1" customHeight="1">
      <c r="A955" s="75">
        <v>46222.0</v>
      </c>
      <c r="B955" s="72" t="s">
        <v>150</v>
      </c>
      <c r="C955" s="72" t="s">
        <v>131</v>
      </c>
      <c r="D955" s="72" t="s">
        <v>527</v>
      </c>
      <c r="E955" s="73">
        <v>-1500.0</v>
      </c>
    </row>
    <row r="956" ht="15.75" hidden="1" customHeight="1">
      <c r="A956" s="75">
        <v>46222.0</v>
      </c>
      <c r="B956" s="72" t="s">
        <v>150</v>
      </c>
      <c r="C956" s="72" t="s">
        <v>131</v>
      </c>
      <c r="D956" s="72" t="s">
        <v>528</v>
      </c>
      <c r="E956" s="73">
        <v>-2000.0</v>
      </c>
    </row>
    <row r="957" ht="15.75" hidden="1" customHeight="1">
      <c r="A957" s="75">
        <v>46222.0</v>
      </c>
      <c r="B957" s="72" t="s">
        <v>150</v>
      </c>
      <c r="C957" s="72" t="s">
        <v>131</v>
      </c>
      <c r="D957" s="72" t="s">
        <v>529</v>
      </c>
      <c r="E957" s="73">
        <v>-30000.0</v>
      </c>
    </row>
    <row r="958" ht="15.75" hidden="1" customHeight="1">
      <c r="A958" s="75">
        <v>46222.0</v>
      </c>
      <c r="B958" s="72" t="s">
        <v>150</v>
      </c>
      <c r="C958" s="72" t="s">
        <v>131</v>
      </c>
      <c r="D958" s="72" t="s">
        <v>530</v>
      </c>
      <c r="E958" s="73">
        <v>-17000.0</v>
      </c>
    </row>
    <row r="959" ht="15.75" hidden="1" customHeight="1">
      <c r="A959" s="75">
        <v>46222.0</v>
      </c>
      <c r="B959" s="72" t="s">
        <v>150</v>
      </c>
      <c r="C959" s="72" t="s">
        <v>117</v>
      </c>
      <c r="D959" s="72" t="s">
        <v>275</v>
      </c>
      <c r="E959" s="73">
        <v>-15.0</v>
      </c>
    </row>
    <row r="960" ht="15.75" hidden="1" customHeight="1">
      <c r="A960" s="75">
        <v>46222.0</v>
      </c>
      <c r="B960" s="72" t="s">
        <v>150</v>
      </c>
      <c r="C960" s="72" t="s">
        <v>117</v>
      </c>
      <c r="D960" s="72" t="s">
        <v>275</v>
      </c>
      <c r="E960" s="73">
        <v>-4885.0</v>
      </c>
    </row>
    <row r="961" ht="15.75" hidden="1" customHeight="1">
      <c r="A961" s="75">
        <v>46222.0</v>
      </c>
      <c r="B961" s="72" t="s">
        <v>166</v>
      </c>
      <c r="C961" s="72" t="s">
        <v>161</v>
      </c>
      <c r="D961" s="72" t="s">
        <v>531</v>
      </c>
      <c r="E961" s="73">
        <v>2.0</v>
      </c>
    </row>
    <row r="962" ht="15.75" customHeight="1">
      <c r="C962" s="77"/>
    </row>
    <row r="963" ht="15.75" customHeight="1">
      <c r="C963" s="77"/>
    </row>
    <row r="964" ht="15.75" customHeight="1">
      <c r="C964" s="77"/>
    </row>
    <row r="965" ht="15.75" customHeight="1">
      <c r="C965" s="77"/>
    </row>
    <row r="966" ht="15.75" customHeight="1">
      <c r="C966" s="77"/>
    </row>
    <row r="967" ht="15.75" customHeight="1">
      <c r="C967" s="77"/>
    </row>
    <row r="968" ht="15.75" customHeight="1">
      <c r="C968" s="77"/>
    </row>
    <row r="969" ht="15.75" customHeight="1">
      <c r="C969" s="77"/>
    </row>
    <row r="970" ht="15.75" customHeight="1">
      <c r="C970" s="77"/>
    </row>
    <row r="971" ht="15.75" customHeight="1">
      <c r="C971" s="77"/>
    </row>
    <row r="972" ht="15.75" customHeight="1">
      <c r="C972" s="77"/>
    </row>
    <row r="973" ht="15.75" customHeight="1">
      <c r="C973" s="77"/>
    </row>
    <row r="974" ht="15.75" customHeight="1">
      <c r="C974" s="77"/>
    </row>
    <row r="975" ht="15.75" customHeight="1">
      <c r="C975" s="77"/>
    </row>
    <row r="976" ht="15.75" customHeight="1">
      <c r="C976" s="77"/>
    </row>
    <row r="977" ht="15.75" customHeight="1">
      <c r="C977" s="77"/>
    </row>
    <row r="978" ht="15.75" customHeight="1">
      <c r="C978" s="77"/>
    </row>
    <row r="979" ht="15.75" customHeight="1">
      <c r="C979" s="77"/>
    </row>
    <row r="980" ht="15.75" customHeight="1">
      <c r="C980" s="77"/>
    </row>
    <row r="981" ht="15.75" customHeight="1">
      <c r="C981" s="77"/>
    </row>
    <row r="982" ht="15.75" customHeight="1">
      <c r="C982" s="77"/>
    </row>
    <row r="983" ht="15.75" customHeight="1">
      <c r="C983" s="77"/>
    </row>
    <row r="984" ht="15.75" customHeight="1">
      <c r="C984" s="77"/>
    </row>
    <row r="985" ht="15.75" customHeight="1">
      <c r="C985" s="77"/>
    </row>
    <row r="986" ht="15.75" customHeight="1">
      <c r="C986" s="77"/>
    </row>
    <row r="987" ht="15.75" customHeight="1">
      <c r="C987" s="77"/>
    </row>
    <row r="988" ht="15.75" customHeight="1">
      <c r="C988" s="77"/>
    </row>
    <row r="989" ht="15.75" customHeight="1">
      <c r="C989" s="77"/>
    </row>
    <row r="990" ht="15.75" customHeight="1">
      <c r="C990" s="77"/>
    </row>
    <row r="991" ht="15.75" customHeight="1">
      <c r="C991" s="77"/>
    </row>
    <row r="992" ht="15.75" customHeight="1">
      <c r="C992" s="77"/>
    </row>
    <row r="993" ht="15.75" customHeight="1">
      <c r="C993" s="77"/>
    </row>
    <row r="994" ht="15.75" customHeight="1">
      <c r="C994" s="77"/>
    </row>
    <row r="995" ht="15.75" customHeight="1">
      <c r="C995" s="77"/>
    </row>
    <row r="996" ht="15.75" customHeight="1">
      <c r="C996" s="77"/>
    </row>
    <row r="997" ht="15.75" customHeight="1">
      <c r="C997" s="77"/>
    </row>
    <row r="998" ht="15.75" customHeight="1">
      <c r="C998" s="77"/>
    </row>
  </sheetData>
  <autoFilter ref="$A$4:$F$961">
    <filterColumn colId="2">
      <filters>
        <filter val="통신비"/>
      </filters>
    </filterColumn>
    <sortState ref="A4:F961">
      <sortCondition ref="A4:A961"/>
      <sortCondition ref="E4:E961"/>
    </sortState>
  </autoFilter>
  <dataValidations>
    <dataValidation type="list" allowBlank="1" sqref="C5:C998">
      <formula1>"대출,보험,통신비,주거비,생활고정비,금융고정비,교통,식비,육아,기타생활비,이벤트,기석용돈,승주용돈,의료비,기타수입,이체,현금,저축,내계좌이체,기석상여,기석월급,승주상여,승주월급,카드대금,미분류,실비,세금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